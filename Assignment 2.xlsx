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Assignment 2" sheetId="3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<sst xmlns="http://schemas.openxmlformats.org/spreadsheetml/2006/main" count="218" uniqueCount="149">
  <si>
    <t xml:space="preserve">Observation </t>
  </si>
  <si>
    <t>1. Handling Missing Values:</t>
  </si>
  <si>
    <t>* Check for missing values in the 'Price' column. How would you handle products with missing price information?</t>
  </si>
  <si>
    <t>2. Correcting Inconsistent Data:</t>
  </si>
  <si>
    <t>* Identify any inconsistent text formats present in the "Product Name" column</t>
  </si>
  <si>
    <t>* Identify any typos present in the "Category" column.</t>
  </si>
  <si>
    <t>* Use the find and replace function to standardize the text formats in the "Product</t>
  </si>
  <si>
    <t>Name" column and fix any typos or misspellings in the "Category" column.</t>
  </si>
  <si>
    <t>3. Removing Duplicates:</t>
  </si>
  <si>
    <t>* Identify any duplicate rows within the dataset based on the entirety of each row, and</t>
  </si>
  <si>
    <t>remove them if any.</t>
  </si>
  <si>
    <t>4. Splitting and Merging Data:</t>
  </si>
  <si>
    <t>* Merge the "Brand Name" and "Product Name" columns into one column named</t>
  </si>
  <si>
    <t>TASK</t>
  </si>
  <si>
    <t>FORMULA</t>
  </si>
  <si>
    <t>ANSWER</t>
  </si>
  <si>
    <t>Product Brand.</t>
  </si>
  <si>
    <t>Total price of all products</t>
  </si>
  <si>
    <t>MAX(D2:D35)</t>
  </si>
  <si>
    <t>Average price of the products.</t>
  </si>
  <si>
    <t>AVERAGE(D2:D35)</t>
  </si>
  <si>
    <t>Minimum price</t>
  </si>
  <si>
    <t>MIN(D2:D35)</t>
  </si>
  <si>
    <t xml:space="preserve"> </t>
  </si>
  <si>
    <t>Maximum price</t>
  </si>
  <si>
    <t>5. Number Formatting:</t>
  </si>
  <si>
    <t>RIGHT- Product ID-Country Code</t>
  </si>
  <si>
    <t>RIGHT(A2,2)</t>
  </si>
  <si>
    <t>* Format the data type of the "Price" column to a currency format.</t>
  </si>
  <si>
    <t>LEFT- Product ID-Day</t>
  </si>
  <si>
    <t>LEFT(A2,6)</t>
  </si>
  <si>
    <t>* Format the "Manufacturing Date" column to display dates in the "DD-MM-YYYY "</t>
  </si>
  <si>
    <t>MID- Product ID-Month</t>
  </si>
  <si>
    <t>MID(A2,4,3)</t>
  </si>
  <si>
    <t>format.</t>
  </si>
  <si>
    <t>If function</t>
  </si>
  <si>
    <t>IF(D2&gt;=500,"High Price","Standard Price")</t>
  </si>
  <si>
    <t>SUMIF</t>
  </si>
  <si>
    <t>SUMIF(F2:F35,F2,D2:D35)</t>
  </si>
  <si>
    <t>COUNTIF</t>
  </si>
  <si>
    <t>COUNTIF(D2:D35,"&gt;100")</t>
  </si>
  <si>
    <t>Product ID</t>
  </si>
  <si>
    <t>Product Name</t>
  </si>
  <si>
    <t>Brand Name</t>
  </si>
  <si>
    <t>Price ($)</t>
  </si>
  <si>
    <t>LL</t>
  </si>
  <si>
    <t>Category</t>
  </si>
  <si>
    <t>Manufacturing Date</t>
  </si>
  <si>
    <t>Product Brand</t>
  </si>
  <si>
    <t>Manufacturing Date2</t>
  </si>
  <si>
    <t>Country Code</t>
  </si>
  <si>
    <t>Product Name2</t>
  </si>
  <si>
    <t>Price($)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</si>
  <si>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</si>
  <si>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</si>
  <si>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</si>
  <si>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</si>
  <si>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</si>
  <si>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</si>
  <si>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</si>
  <si>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</si>
  <si>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</si>
  <si>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</si>
  <si>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</si>
  <si>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</si>
  <si>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</si>
  <si>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</si>
  <si>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</si>
  <si>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</si>
  <si>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</si>
  <si>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</si>
  <si>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</si>
  <si>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</si>
  <si>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</si>
  <si>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</si>
  <si>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</si>
  <si>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</si>
  <si>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</si>
  <si>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</si>
  <si>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</si>
  <si>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</si>
  <si>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</si>
  <si>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</si>
  <si>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</si>
  <si>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</si>
  <si>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</si>
  <si>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</si>
  <si>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</si>
  <si>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</si>
  <si>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</si>
  <si>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</si>
  <si>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</si>
  <si>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</si>
  <si>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</si>
  <si>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</si>
  <si>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</si>
  <si>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</si>
  <si>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</si>
  <si>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</si>
  <si>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</si>
  <si>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</si>
  <si>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</si>
  <si>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</si>
  <si>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</si>
  <si>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</si>
  <si>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</si>
  <si>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</si>
  <si>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</si>
  <si>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</si>
  <si>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</si>
  <si>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</si>
  <si>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</si>
  <si>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</si>
  <si>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</si>
  <si>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</si>
  <si>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</si>
  <si>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</si>
  <si>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</si>
  <si>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</si>
  <si>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</si>
  <si>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</si>
  <si>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</si>
  <si>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</si>
  <si>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</si>
  <si>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</si>
  <si>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</si>
  <si>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</si>
  <si>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</si>
  <si>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</si>
  <si>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</si>
  <si>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</si>
  <si>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</si>
  <si>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</si>
  <si>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</si>
  <si>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</si>
  <si>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</si>
  <si>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</si>
  <si>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</si>
  <si>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</si>
  <si>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</si>
  <si>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* If there are products with missing categories, propose a strategy to impute or deal with these missing values effectively.</t>
  </si>
  <si>
    <t>* Split the "Product ID" column into two separate columns for " Manufacturing Date"</t>
  </si>
  <si>
    <t>and "Country Code". Remove unnecessary characters, if any.</t>
  </si>
  <si>
    <t xml:space="preserve">But formula have problem </t>
  </si>
  <si>
    <t>6. Conditional Formatting:</t>
  </si>
  <si>
    <t>* Apply data bar or color scales conditional formatting in the "Price" column.</t>
  </si>
  <si>
    <t>* Create a</t>
  </si>
  <si>
    <t>custom rule for conditional formatting in the "Category" column to highlight cells where</t>
  </si>
  <si>
    <t>the category is "Electronics."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</si>
</sst>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\.m\.yy;@"/>
    <numFmt numFmtId="181" formatCode="&quot;₹&quot;\ #,##0"/>
  </numFmts>
  <fonts count="30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0"/>
      <color theme="8" tint="-0.49998474074526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8" tint="0.399975585192419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0" borderId="3" xfId="0" applyFont="1" applyFill="1" applyBorder="1" applyAlignment="1"/>
    <xf numFmtId="0" fontId="6" fillId="0" borderId="4" xfId="0" applyFont="1" applyFill="1" applyBorder="1" applyAlignment="1"/>
    <xf numFmtId="180" fontId="7" fillId="0" borderId="0" xfId="0" applyNumberFormat="1" applyFont="1" applyFill="1" applyAlignment="1"/>
    <xf numFmtId="0" fontId="8" fillId="0" borderId="4" xfId="0" applyNumberFormat="1" applyFont="1" applyFill="1" applyBorder="1" applyAlignment="1">
      <alignment horizontal="left"/>
    </xf>
    <xf numFmtId="0" fontId="6" fillId="0" borderId="4" xfId="0" applyNumberFormat="1" applyFont="1" applyFill="1" applyBorder="1" applyAlignment="1"/>
    <xf numFmtId="0" fontId="1" fillId="0" borderId="4" xfId="0" applyNumberFormat="1" applyFont="1" applyFill="1" applyBorder="1" applyAlignment="1"/>
    <xf numFmtId="181" fontId="1" fillId="0" borderId="5" xfId="0" applyNumberFormat="1" applyFont="1" applyFill="1" applyBorder="1" applyAlignment="1"/>
    <xf numFmtId="0" fontId="6" fillId="4" borderId="3" xfId="0" applyFont="1" applyFill="1" applyBorder="1" applyAlignment="1"/>
    <xf numFmtId="0" fontId="6" fillId="4" borderId="4" xfId="0" applyFont="1" applyFill="1" applyBorder="1" applyAlignment="1"/>
    <xf numFmtId="180" fontId="6" fillId="4" borderId="4" xfId="0" applyNumberFormat="1" applyFont="1" applyFill="1" applyBorder="1" applyAlignment="1"/>
    <xf numFmtId="180" fontId="6" fillId="0" borderId="4" xfId="0" applyNumberFormat="1" applyFont="1" applyFill="1" applyBorder="1" applyAlignment="1"/>
    <xf numFmtId="0" fontId="8" fillId="0" borderId="6" xfId="0" applyNumberFormat="1" applyFont="1" applyFill="1" applyBorder="1" applyAlignment="1">
      <alignment horizontal="left"/>
    </xf>
    <xf numFmtId="0" fontId="6" fillId="0" borderId="6" xfId="0" applyNumberFormat="1" applyFont="1" applyFill="1" applyBorder="1" applyAlignment="1"/>
    <xf numFmtId="0" fontId="6" fillId="4" borderId="7" xfId="0" applyFont="1" applyFill="1" applyBorder="1" applyAlignment="1"/>
    <xf numFmtId="0" fontId="6" fillId="4" borderId="6" xfId="0" applyFont="1" applyFill="1" applyBorder="1" applyAlignment="1"/>
    <xf numFmtId="180" fontId="6" fillId="4" borderId="6" xfId="0" applyNumberFormat="1" applyFont="1" applyFill="1" applyBorder="1" applyAlignment="1"/>
    <xf numFmtId="0" fontId="1" fillId="0" borderId="6" xfId="0" applyNumberFormat="1" applyFont="1" applyFill="1" applyBorder="1" applyAlignment="1"/>
    <xf numFmtId="0" fontId="9" fillId="0" borderId="0" xfId="0" applyFont="1" applyFill="1" applyAlignment="1">
      <alignment horizontal="center"/>
    </xf>
    <xf numFmtId="0" fontId="7" fillId="0" borderId="0" xfId="0" applyFont="1" applyFill="1" applyAlignment="1"/>
    <xf numFmtId="0" fontId="10" fillId="0" borderId="0" xfId="0" applyFont="1" applyFill="1" applyAlignment="1">
      <alignment horizontal="left" vertical="center" indent="2"/>
    </xf>
    <xf numFmtId="0" fontId="10" fillId="0" borderId="0" xfId="0" applyFont="1" applyFill="1" applyAlignment="1"/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right"/>
    </xf>
    <xf numFmtId="0" fontId="3" fillId="0" borderId="5" xfId="0" applyFont="1" applyFill="1" applyBorder="1" applyAlignment="1">
      <alignment horizontal="right"/>
    </xf>
    <xf numFmtId="1" fontId="3" fillId="0" borderId="5" xfId="0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9" xfId="0" applyFont="1" applyFill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80" formatCode="[$-14009]d\.m\.yy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81" formatCode="&quot;₹&quot;\ #,##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</xdr:row>
      <xdr:rowOff>44450</xdr:rowOff>
    </xdr:from>
    <xdr:to>
      <xdr:col>10</xdr:col>
      <xdr:colOff>178435</xdr:colOff>
      <xdr:row>6</xdr:row>
      <xdr:rowOff>63500</xdr:rowOff>
    </xdr:to>
    <xdr:pic>
      <xdr:nvPicPr>
        <xdr:cNvPr id="8" name="Picture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895350"/>
          <a:ext cx="6273800" cy="38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23</xdr:row>
      <xdr:rowOff>95250</xdr:rowOff>
    </xdr:from>
    <xdr:to>
      <xdr:col>10</xdr:col>
      <xdr:colOff>216535</xdr:colOff>
      <xdr:row>25</xdr:row>
      <xdr:rowOff>114300</xdr:rowOff>
    </xdr:to>
    <xdr:pic>
      <xdr:nvPicPr>
        <xdr:cNvPr id="10" name="Picture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445000"/>
          <a:ext cx="6311900" cy="387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6</xdr:col>
      <xdr:colOff>480695</xdr:colOff>
      <xdr:row>45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733790"/>
          <a:ext cx="6044565" cy="31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4</xdr:col>
      <xdr:colOff>426720</xdr:colOff>
      <xdr:row>52</xdr:row>
      <xdr:rowOff>119380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889490"/>
          <a:ext cx="4221480" cy="284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3</xdr:col>
      <xdr:colOff>542925</xdr:colOff>
      <xdr:row>67</xdr:row>
      <xdr:rowOff>147955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365990"/>
          <a:ext cx="3453130" cy="313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4</xdr:col>
      <xdr:colOff>64770</xdr:colOff>
      <xdr:row>72</xdr:row>
      <xdr:rowOff>10160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3026390"/>
          <a:ext cx="3859530" cy="340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3</xdr:col>
      <xdr:colOff>466725</xdr:colOff>
      <xdr:row>65</xdr:row>
      <xdr:rowOff>156210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2035790"/>
          <a:ext cx="3376930" cy="321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6</xdr:col>
      <xdr:colOff>661670</xdr:colOff>
      <xdr:row>81</xdr:row>
      <xdr:rowOff>38735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4512290"/>
          <a:ext cx="6225540" cy="3689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e25_7" displayName="Table25_7" ref="N22:P32" totalsRowShown="0">
  <autoFilter xmlns:etc="http://www.wps.cn/officeDocument/2017/etCustomData" ref="N22:P32" etc:filterBottomFollowUsedRange="0"/>
  <tableColumns count="3">
    <tableColumn id="1" name="TASK"/>
    <tableColumn id="2" name="FORMULA"/>
    <tableColumn id="3" name="ANSWE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4" name="Table14_5" displayName="Table14_5" ref="A1:L35" totalsRowShown="0">
  <autoFilter xmlns:etc="http://www.wps.cn/officeDocument/2017/etCustomData" ref="A1:L35" etc:filterBottomFollowUsedRange="0"/>
  <tableColumns count="12">
    <tableColumn id="1" name="Product ID"/>
    <tableColumn id="2" name="Product Name"/>
    <tableColumn id="3" name="Brand Name"/>
    <tableColumn id="4" name="Price ($)"/>
    <tableColumn id="5" name="LL"/>
    <tableColumn id="6" name="Category"/>
    <tableColumn id="7" name="Manufacturing Date" dataDxfId="0">
      <calculatedColumnFormula>TEXT(DATEVALUE(LEFT(A2,7)&amp;"2026"),"dd-mm-yyyy")</calculatedColumnFormula>
    </tableColumn>
    <tableColumn id="8" name="Product Brand" dataDxfId="1">
      <calculatedColumnFormula>_xlfn.CONCAT(B2,C2)</calculatedColumnFormula>
    </tableColumn>
    <tableColumn id="9" name="Manufacturing Date2" dataDxfId="2">
      <calculatedColumnFormula>LEFT(A2,6)</calculatedColumnFormula>
    </tableColumn>
    <tableColumn id="10" name="Country Code" dataDxfId="3">
      <calculatedColumnFormula>RIGHT(A2,2)</calculatedColumnFormula>
    </tableColumn>
    <tableColumn id="11" name="Product Name2" dataDxfId="4">
      <calculatedColumnFormula>PROPER(CLEAN(TRIM(B2)))</calculatedColumnFormula>
    </tableColumn>
    <tableColumn id="12" name="Price($)" dataDxfId="5">
      <calculatedColumnFormula>IF(D2="",AVERAGEIF($F$2:$F$32,F2,$D$2:$D$32),D2)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5"/>
  <sheetViews>
    <sheetView tabSelected="1" workbookViewId="0">
      <selection activeCell="M1" sqref="M1"/>
    </sheetView>
  </sheetViews>
  <sheetFormatPr defaultColWidth="8.72727272727273" defaultRowHeight="14.5"/>
  <cols>
    <col min="14" max="14" width="28.4545454545455" customWidth="1"/>
    <col min="15" max="15" width="36.4545454545455" customWidth="1"/>
    <col min="16" max="16" width="13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3.5" spans="1:12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6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6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6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2" t="s">
        <v>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6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26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6" t="s">
        <v>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27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>
      <c r="A16" s="2" t="s">
        <v>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6">
      <c r="A17" s="26" t="s">
        <v>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6">
      <c r="A18" s="1" t="s">
        <v>10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6">
      <c r="A19" s="27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6">
      <c r="A20" s="2" t="s">
        <v>11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6">
      <c r="A21" s="2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6">
      <c r="A22" s="26" t="s">
        <v>12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29" t="s">
        <v>13</v>
      </c>
      <c r="O22" s="30" t="s">
        <v>14</v>
      </c>
      <c r="P22" s="31" t="s">
        <v>15</v>
      </c>
    </row>
    <row r="23" spans="1:16">
      <c r="A23" s="1" t="s">
        <v>16</v>
      </c>
      <c r="B23" s="1"/>
      <c r="C23" s="1"/>
      <c r="D23" s="1"/>
      <c r="E23" s="1"/>
      <c r="F23" s="1"/>
      <c r="G23" s="27"/>
      <c r="H23" s="28"/>
      <c r="I23" s="28"/>
      <c r="J23" s="1"/>
      <c r="K23" s="1"/>
      <c r="L23" s="1"/>
      <c r="N23" s="32" t="s">
        <v>17</v>
      </c>
      <c r="O23" s="33" t="s">
        <v>18</v>
      </c>
      <c r="P23" s="34">
        <f>SUM(B23:B56)</f>
        <v>0</v>
      </c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32" t="s">
        <v>19</v>
      </c>
      <c r="O24" s="33" t="s">
        <v>20</v>
      </c>
      <c r="P24" s="35" t="e">
        <f>AVERAGE(#REF!,#REF!)</f>
        <v>#REF!</v>
      </c>
    </row>
    <row r="25" spans="1:16">
      <c r="A25" s="1"/>
      <c r="B25" s="1"/>
      <c r="C25" s="1"/>
      <c r="D25" s="1"/>
      <c r="E25" s="1"/>
      <c r="F25" s="1"/>
      <c r="G25" s="27"/>
      <c r="H25" s="28"/>
      <c r="I25" s="28"/>
      <c r="J25" s="1"/>
      <c r="K25" s="1"/>
      <c r="L25" s="1"/>
      <c r="N25" s="32" t="s">
        <v>21</v>
      </c>
      <c r="O25" s="33" t="s">
        <v>22</v>
      </c>
      <c r="P25" s="34">
        <f>MIN(B23:B56)</f>
        <v>0</v>
      </c>
    </row>
    <row r="26" spans="1:16">
      <c r="A26" s="3"/>
      <c r="B26" s="1"/>
      <c r="C26" s="1"/>
      <c r="D26" s="1"/>
      <c r="E26" s="1"/>
      <c r="F26" s="1"/>
      <c r="G26" s="26" t="s">
        <v>23</v>
      </c>
      <c r="H26" s="1"/>
      <c r="I26" s="1"/>
      <c r="J26" s="1"/>
      <c r="K26" s="1"/>
      <c r="L26" s="1"/>
      <c r="N26" s="32" t="s">
        <v>24</v>
      </c>
      <c r="O26" s="33" t="s">
        <v>18</v>
      </c>
      <c r="P26" s="34">
        <f>MAX(B23:B56)</f>
        <v>0</v>
      </c>
    </row>
    <row r="27" spans="1:16">
      <c r="A27" s="2" t="s">
        <v>25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32" t="s">
        <v>26</v>
      </c>
      <c r="O27" s="33" t="s">
        <v>27</v>
      </c>
      <c r="P27" s="34" t="e">
        <f>RIGHT(#REF!)</f>
        <v>#REF!</v>
      </c>
    </row>
    <row r="28" spans="1:16">
      <c r="A28" s="26" t="s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32" t="s">
        <v>29</v>
      </c>
      <c r="O28" s="33" t="s">
        <v>30</v>
      </c>
      <c r="P28" s="34" t="e">
        <f>LEFT(#REF!)</f>
        <v>#REF!</v>
      </c>
    </row>
    <row r="29" spans="1:16">
      <c r="A29" s="26" t="s">
        <v>31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36" t="s">
        <v>32</v>
      </c>
      <c r="O29" s="37" t="s">
        <v>33</v>
      </c>
      <c r="P29" s="38" t="e">
        <f>MID(#REF!,4,3)</f>
        <v>#REF!</v>
      </c>
    </row>
    <row r="30" spans="1:16">
      <c r="A30" s="26" t="s">
        <v>34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32" t="s">
        <v>35</v>
      </c>
      <c r="O30" s="33" t="s">
        <v>36</v>
      </c>
      <c r="P30" s="34" t="str">
        <f>IF(B23&gt;=500,"High Price","Standard Price")</f>
        <v>Standard Price</v>
      </c>
    </row>
    <row r="31" spans="1:16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N31" s="32" t="s">
        <v>37</v>
      </c>
      <c r="O31" s="33" t="s">
        <v>38</v>
      </c>
      <c r="P31" s="34">
        <f>SUMIF(D23:D56,D23,B23:B56)</f>
        <v>0</v>
      </c>
    </row>
    <row r="32" spans="1:16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N32" s="32" t="s">
        <v>39</v>
      </c>
      <c r="O32" s="33" t="s">
        <v>40</v>
      </c>
      <c r="P32" s="34">
        <f>COUNTIF(B23:B56,"&gt;100")</f>
        <v>0</v>
      </c>
    </row>
    <row r="33" spans="1:12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2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2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2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</sheetData>
  <mergeCells count="1">
    <mergeCell ref="A2:L2"/>
  </mergeCell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83"/>
  <sheetViews>
    <sheetView workbookViewId="0">
      <selection activeCell="D12" sqref="D12"/>
    </sheetView>
  </sheetViews>
  <sheetFormatPr defaultColWidth="12.6636363636364" defaultRowHeight="15" customHeight="1"/>
  <cols>
    <col min="1" max="1" width="12.6636363636364" style="1"/>
    <col min="2" max="2" width="15.3363636363636" style="1" customWidth="1"/>
    <col min="3" max="3" width="13.6636363636364" style="1" customWidth="1"/>
    <col min="4" max="6" width="12.6636363636364" style="1"/>
    <col min="7" max="7" width="22.6636363636364" style="1" customWidth="1"/>
    <col min="8" max="8" width="18.4454545454545" style="1" customWidth="1"/>
    <col min="9" max="9" width="23.6636363636364" style="1" customWidth="1"/>
    <col min="10" max="10" width="17.7818181818182" style="1" customWidth="1"/>
    <col min="11" max="11" width="19" style="1" customWidth="1"/>
    <col min="12" max="12" width="12.2181818181818" style="1" customWidth="1"/>
    <col min="13" max="15" width="12.6636363636364" style="1"/>
    <col min="16" max="16" width="45.5545454545455" style="1" customWidth="1"/>
    <col min="17" max="17" width="38.8909090909091" style="1" customWidth="1"/>
    <col min="18" max="16384" width="12.6636363636364" style="1"/>
  </cols>
  <sheetData>
    <row r="1" s="1" customFormat="1" ht="15.75" customHeight="1" spans="1:12">
      <c r="A1" s="4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6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</row>
    <row r="2" s="1" customFormat="1" ht="14.5" spans="1:12">
      <c r="A2" s="8" t="s">
        <v>53</v>
      </c>
      <c r="B2" s="9" t="s">
        <v>54</v>
      </c>
      <c r="C2" s="9" t="s">
        <v>55</v>
      </c>
      <c r="D2" s="9">
        <v>1000</v>
      </c>
      <c r="E2" s="9">
        <v>30</v>
      </c>
      <c r="F2" s="9" t="s">
        <v>56</v>
      </c>
      <c r="G2" s="10" t="str">
        <f t="shared" ref="G2:G35" si="0">TEXT(DATEVALUE(LEFT(A2,7)&amp;"2026"),"dd-mm-yyyy")</f>
        <v>28-01-2026</v>
      </c>
      <c r="H2" s="11" t="str">
        <f t="shared" ref="H2:H35" si="1">_xlfn.CONCAT(B2,C2)</f>
        <v>LaptopDell</v>
      </c>
      <c r="I2" s="12" t="str">
        <f t="shared" ref="I2:I35" si="2">LEFT(A2,6)</f>
        <v>28-JAN</v>
      </c>
      <c r="J2" s="13" t="str">
        <f t="shared" ref="J2:J35" si="3">RIGHT(A2,2)</f>
        <v>US</v>
      </c>
      <c r="K2" s="13" t="str">
        <f t="shared" ref="K2:K35" si="4">PROPER(CLEAN(TRIM(B2)))</f>
        <v>Laptop</v>
      </c>
      <c r="L2" s="14">
        <f t="shared" ref="L2:L35" si="5">IF(D2="",AVERAGEIF($F$2:$F$32,F2,$D$2:$D$32),D2)</f>
        <v>1000</v>
      </c>
    </row>
    <row r="3" s="1" customFormat="1" ht="14.5" spans="1:12">
      <c r="A3" s="15" t="s">
        <v>57</v>
      </c>
      <c r="B3" s="16" t="s">
        <v>58</v>
      </c>
      <c r="C3" s="16" t="s">
        <v>59</v>
      </c>
      <c r="D3" s="16">
        <v>80</v>
      </c>
      <c r="E3" s="16">
        <v>15</v>
      </c>
      <c r="F3" s="16" t="s">
        <v>60</v>
      </c>
      <c r="G3" s="17" t="str">
        <f t="shared" si="0"/>
        <v>15-02-2026</v>
      </c>
      <c r="H3" s="11" t="str">
        <f t="shared" si="1"/>
        <v>SneakersNike</v>
      </c>
      <c r="I3" s="13" t="str">
        <f t="shared" si="2"/>
        <v>15-FEB</v>
      </c>
      <c r="J3" s="13" t="str">
        <f t="shared" si="3"/>
        <v>US</v>
      </c>
      <c r="K3" s="13" t="str">
        <f t="shared" si="4"/>
        <v>Sneakers</v>
      </c>
      <c r="L3" s="14">
        <f t="shared" si="5"/>
        <v>80</v>
      </c>
    </row>
    <row r="4" s="1" customFormat="1" ht="14.5" spans="1:12">
      <c r="A4" s="8" t="s">
        <v>61</v>
      </c>
      <c r="B4" s="9" t="s">
        <v>62</v>
      </c>
      <c r="C4" s="9" t="s">
        <v>63</v>
      </c>
      <c r="D4" s="9">
        <v>130</v>
      </c>
      <c r="E4" s="9">
        <v>40</v>
      </c>
      <c r="F4" s="9" t="s">
        <v>64</v>
      </c>
      <c r="G4" s="18" t="str">
        <f t="shared" si="0"/>
        <v>03-03-2026</v>
      </c>
      <c r="H4" s="11" t="str">
        <f t="shared" si="1"/>
        <v>Coffee MakerKeurig</v>
      </c>
      <c r="I4" s="13" t="str">
        <f t="shared" si="2"/>
        <v>03-MAR</v>
      </c>
      <c r="J4" s="13" t="str">
        <f t="shared" si="3"/>
        <v>US</v>
      </c>
      <c r="K4" s="13" t="str">
        <f t="shared" si="4"/>
        <v>Coffee Maker</v>
      </c>
      <c r="L4" s="14">
        <f t="shared" si="5"/>
        <v>130</v>
      </c>
    </row>
    <row r="5" s="1" customFormat="1" ht="14.5" spans="1:12">
      <c r="A5" s="15" t="s">
        <v>65</v>
      </c>
      <c r="B5" s="16" t="s">
        <v>66</v>
      </c>
      <c r="C5" s="16" t="s">
        <v>67</v>
      </c>
      <c r="D5" s="16">
        <v>900</v>
      </c>
      <c r="E5" s="16">
        <v>25</v>
      </c>
      <c r="F5" s="16" t="s">
        <v>56</v>
      </c>
      <c r="G5" s="17" t="str">
        <f t="shared" si="0"/>
        <v>11-04-2026</v>
      </c>
      <c r="H5" s="11" t="str">
        <f t="shared" si="1"/>
        <v>SmartphoneSamsung</v>
      </c>
      <c r="I5" s="13" t="str">
        <f t="shared" si="2"/>
        <v>11-APR</v>
      </c>
      <c r="J5" s="13" t="str">
        <f t="shared" si="3"/>
        <v>US</v>
      </c>
      <c r="K5" s="13" t="str">
        <f t="shared" si="4"/>
        <v>Smartphone</v>
      </c>
      <c r="L5" s="14">
        <f t="shared" si="5"/>
        <v>900</v>
      </c>
    </row>
    <row r="6" s="1" customFormat="1" ht="15.75" customHeight="1" spans="1:12">
      <c r="A6" s="8" t="s">
        <v>68</v>
      </c>
      <c r="B6" s="9" t="s">
        <v>69</v>
      </c>
      <c r="C6" s="9" t="s">
        <v>70</v>
      </c>
      <c r="D6" s="9">
        <v>70</v>
      </c>
      <c r="E6" s="9">
        <v>20</v>
      </c>
      <c r="F6" s="9" t="s">
        <v>71</v>
      </c>
      <c r="G6" s="18" t="str">
        <f t="shared" si="0"/>
        <v>22-05-2026</v>
      </c>
      <c r="H6" s="11" t="str">
        <f t="shared" si="1"/>
        <v>BackpackNorth Face</v>
      </c>
      <c r="I6" s="13" t="str">
        <f t="shared" si="2"/>
        <v>22-MAY</v>
      </c>
      <c r="J6" s="13" t="str">
        <f t="shared" si="3"/>
        <v>US</v>
      </c>
      <c r="K6" s="13" t="str">
        <f t="shared" si="4"/>
        <v>Backpack</v>
      </c>
      <c r="L6" s="14">
        <f t="shared" si="5"/>
        <v>70</v>
      </c>
    </row>
    <row r="7" s="1" customFormat="1" ht="15.75" customHeight="1" spans="1:12">
      <c r="A7" s="15" t="s">
        <v>72</v>
      </c>
      <c r="B7" s="16" t="s">
        <v>73</v>
      </c>
      <c r="C7" s="16" t="s">
        <v>74</v>
      </c>
      <c r="D7" s="16">
        <v>200</v>
      </c>
      <c r="E7" s="16">
        <v>45</v>
      </c>
      <c r="F7" s="16" t="s">
        <v>56</v>
      </c>
      <c r="G7" s="17" t="str">
        <f t="shared" si="0"/>
        <v>07-06-2026</v>
      </c>
      <c r="H7" s="11" t="str">
        <f t="shared" si="1"/>
        <v>HeadphonesSony</v>
      </c>
      <c r="I7" s="13" t="str">
        <f t="shared" si="2"/>
        <v>07-JUN</v>
      </c>
      <c r="J7" s="13" t="str">
        <f t="shared" si="3"/>
        <v>UK</v>
      </c>
      <c r="K7" s="13" t="str">
        <f t="shared" si="4"/>
        <v>Headphones</v>
      </c>
      <c r="L7" s="14">
        <f t="shared" si="5"/>
        <v>200</v>
      </c>
    </row>
    <row r="8" s="1" customFormat="1" ht="15.75" customHeight="1" spans="1:12">
      <c r="A8" s="8" t="s">
        <v>75</v>
      </c>
      <c r="B8" s="9" t="s">
        <v>76</v>
      </c>
      <c r="C8" s="9" t="s">
        <v>77</v>
      </c>
      <c r="D8" s="9">
        <v>30</v>
      </c>
      <c r="E8" s="9">
        <v>5</v>
      </c>
      <c r="F8" s="9" t="s">
        <v>60</v>
      </c>
      <c r="G8" s="18" t="str">
        <f t="shared" si="0"/>
        <v>19-07-2026</v>
      </c>
      <c r="H8" s="11" t="str">
        <f t="shared" si="1"/>
        <v>T-shirtAdidas</v>
      </c>
      <c r="I8" s="13" t="str">
        <f t="shared" si="2"/>
        <v>19-JUL</v>
      </c>
      <c r="J8" s="13" t="str">
        <f t="shared" si="3"/>
        <v>UK</v>
      </c>
      <c r="K8" s="13" t="str">
        <f t="shared" si="4"/>
        <v>T-Shirt</v>
      </c>
      <c r="L8" s="14">
        <f t="shared" si="5"/>
        <v>30</v>
      </c>
    </row>
    <row r="9" s="1" customFormat="1" ht="15.75" customHeight="1" spans="1:12">
      <c r="A9" s="15" t="s">
        <v>78</v>
      </c>
      <c r="B9" s="16" t="s">
        <v>79</v>
      </c>
      <c r="C9" s="16" t="s">
        <v>80</v>
      </c>
      <c r="D9" s="16">
        <v>90</v>
      </c>
      <c r="E9" s="16">
        <v>35</v>
      </c>
      <c r="F9" s="16" t="s">
        <v>64</v>
      </c>
      <c r="G9" s="17" t="str">
        <f t="shared" si="0"/>
        <v>23-08-2026</v>
      </c>
      <c r="H9" s="11" t="str">
        <f t="shared" si="1"/>
        <v>BlenderNinja</v>
      </c>
      <c r="I9" s="13" t="str">
        <f t="shared" si="2"/>
        <v>23-AUG</v>
      </c>
      <c r="J9" s="13" t="str">
        <f t="shared" si="3"/>
        <v>UK</v>
      </c>
      <c r="K9" s="13" t="str">
        <f t="shared" si="4"/>
        <v>Blender</v>
      </c>
      <c r="L9" s="14">
        <f t="shared" si="5"/>
        <v>90</v>
      </c>
    </row>
    <row r="10" s="1" customFormat="1" ht="15.75" customHeight="1" spans="1:12">
      <c r="A10" s="8" t="s">
        <v>81</v>
      </c>
      <c r="B10" s="9" t="s">
        <v>82</v>
      </c>
      <c r="C10" s="9" t="s">
        <v>83</v>
      </c>
      <c r="D10" s="9">
        <v>500</v>
      </c>
      <c r="E10" s="9">
        <v>50</v>
      </c>
      <c r="F10" s="9" t="s">
        <v>56</v>
      </c>
      <c r="G10" s="18" t="str">
        <f t="shared" si="0"/>
        <v>05-09-2026</v>
      </c>
      <c r="H10" s="11" t="str">
        <f t="shared" si="1"/>
        <v>TabletApple</v>
      </c>
      <c r="I10" s="13" t="str">
        <f t="shared" si="2"/>
        <v>05-SEP</v>
      </c>
      <c r="J10" s="13" t="str">
        <f t="shared" si="3"/>
        <v>UK</v>
      </c>
      <c r="K10" s="13" t="str">
        <f t="shared" si="4"/>
        <v>Tablet</v>
      </c>
      <c r="L10" s="14">
        <f t="shared" si="5"/>
        <v>500</v>
      </c>
    </row>
    <row r="11" s="1" customFormat="1" ht="15.75" customHeight="1" spans="1:12">
      <c r="A11" s="15" t="s">
        <v>84</v>
      </c>
      <c r="B11" s="16" t="s">
        <v>85</v>
      </c>
      <c r="C11" s="16" t="s">
        <v>86</v>
      </c>
      <c r="D11" s="16">
        <v>130</v>
      </c>
      <c r="E11" s="16">
        <v>10</v>
      </c>
      <c r="F11" s="16" t="s">
        <v>71</v>
      </c>
      <c r="G11" s="17" t="str">
        <f t="shared" si="0"/>
        <v>14-10-2026</v>
      </c>
      <c r="H11" s="11" t="str">
        <f t="shared" si="1"/>
        <v>Hiking BootsTimberland</v>
      </c>
      <c r="I11" s="13" t="str">
        <f t="shared" si="2"/>
        <v>14-OCT</v>
      </c>
      <c r="J11" s="13" t="str">
        <f t="shared" si="3"/>
        <v>UK</v>
      </c>
      <c r="K11" s="13" t="str">
        <f t="shared" si="4"/>
        <v>Hiking Boots</v>
      </c>
      <c r="L11" s="14">
        <f t="shared" si="5"/>
        <v>130</v>
      </c>
    </row>
    <row r="12" s="1" customFormat="1" ht="15.75" customHeight="1" spans="1:12">
      <c r="A12" s="8" t="s">
        <v>87</v>
      </c>
      <c r="B12" s="9" t="s">
        <v>54</v>
      </c>
      <c r="C12" s="9" t="s">
        <v>88</v>
      </c>
      <c r="D12" s="9">
        <v>950</v>
      </c>
      <c r="E12" s="9">
        <v>25</v>
      </c>
      <c r="F12" s="9" t="s">
        <v>56</v>
      </c>
      <c r="G12" s="18" t="str">
        <f t="shared" si="0"/>
        <v>17-06-2026</v>
      </c>
      <c r="H12" s="11" t="str">
        <f t="shared" si="1"/>
        <v>LaptopHP</v>
      </c>
      <c r="I12" s="13" t="str">
        <f t="shared" si="2"/>
        <v>17-JUN</v>
      </c>
      <c r="J12" s="13" t="str">
        <f t="shared" si="3"/>
        <v>IN</v>
      </c>
      <c r="K12" s="13" t="str">
        <f t="shared" si="4"/>
        <v>Laptop</v>
      </c>
      <c r="L12" s="14">
        <f t="shared" si="5"/>
        <v>950</v>
      </c>
    </row>
    <row r="13" s="1" customFormat="1" ht="15.75" customHeight="1" spans="1:12">
      <c r="A13" s="15" t="s">
        <v>89</v>
      </c>
      <c r="B13" s="16" t="s">
        <v>58</v>
      </c>
      <c r="C13" s="16" t="s">
        <v>77</v>
      </c>
      <c r="D13" s="16">
        <v>90</v>
      </c>
      <c r="E13" s="16">
        <v>40</v>
      </c>
      <c r="F13" s="16" t="s">
        <v>60</v>
      </c>
      <c r="G13" s="17" t="str">
        <f t="shared" si="0"/>
        <v>25-11-2026</v>
      </c>
      <c r="H13" s="11" t="str">
        <f t="shared" si="1"/>
        <v>SneakersAdidas</v>
      </c>
      <c r="I13" s="13" t="str">
        <f t="shared" si="2"/>
        <v>25-NOV</v>
      </c>
      <c r="J13" s="13" t="str">
        <f t="shared" si="3"/>
        <v>AU</v>
      </c>
      <c r="K13" s="13" t="str">
        <f t="shared" si="4"/>
        <v>Sneakers</v>
      </c>
      <c r="L13" s="14">
        <f t="shared" si="5"/>
        <v>90</v>
      </c>
    </row>
    <row r="14" s="1" customFormat="1" ht="15.75" customHeight="1" spans="1:12">
      <c r="A14" s="8" t="s">
        <v>90</v>
      </c>
      <c r="B14" s="9" t="s">
        <v>62</v>
      </c>
      <c r="C14" s="9" t="s">
        <v>91</v>
      </c>
      <c r="D14" s="9">
        <v>120</v>
      </c>
      <c r="E14" s="9">
        <v>35</v>
      </c>
      <c r="F14" s="9" t="s">
        <v>64</v>
      </c>
      <c r="G14" s="18" t="str">
        <f t="shared" si="0"/>
        <v>08-12-2026</v>
      </c>
      <c r="H14" s="11" t="str">
        <f t="shared" si="1"/>
        <v>Coffee MakerNespresso</v>
      </c>
      <c r="I14" s="13" t="str">
        <f t="shared" si="2"/>
        <v>08-DEC</v>
      </c>
      <c r="J14" s="13" t="str">
        <f t="shared" si="3"/>
        <v>DE</v>
      </c>
      <c r="K14" s="13" t="str">
        <f t="shared" si="4"/>
        <v>Coffee Maker</v>
      </c>
      <c r="L14" s="14">
        <f t="shared" si="5"/>
        <v>120</v>
      </c>
    </row>
    <row r="15" s="1" customFormat="1" ht="15.75" customHeight="1" spans="1:12">
      <c r="A15" s="15" t="s">
        <v>92</v>
      </c>
      <c r="B15" s="16" t="s">
        <v>93</v>
      </c>
      <c r="C15" s="16" t="s">
        <v>94</v>
      </c>
      <c r="D15" s="16">
        <v>150</v>
      </c>
      <c r="E15" s="16">
        <v>15</v>
      </c>
      <c r="F15" s="16" t="s">
        <v>56</v>
      </c>
      <c r="G15" s="17" t="str">
        <f t="shared" si="0"/>
        <v>18-02-2026</v>
      </c>
      <c r="H15" s="11" t="str">
        <f t="shared" si="1"/>
        <v>SmartwatchFitbit</v>
      </c>
      <c r="I15" s="13" t="str">
        <f t="shared" si="2"/>
        <v>18-FEB</v>
      </c>
      <c r="J15" s="13" t="str">
        <f t="shared" si="3"/>
        <v>CA</v>
      </c>
      <c r="K15" s="13" t="str">
        <f t="shared" si="4"/>
        <v>Smartwatch</v>
      </c>
      <c r="L15" s="14">
        <f t="shared" si="5"/>
        <v>150</v>
      </c>
    </row>
    <row r="16" s="1" customFormat="1" ht="15.75" customHeight="1" spans="1:12">
      <c r="A16" s="8" t="s">
        <v>95</v>
      </c>
      <c r="B16" s="9" t="s">
        <v>73</v>
      </c>
      <c r="C16" s="9" t="s">
        <v>96</v>
      </c>
      <c r="D16" s="9">
        <v>250</v>
      </c>
      <c r="E16" s="9">
        <v>20</v>
      </c>
      <c r="F16" s="9" t="s">
        <v>56</v>
      </c>
      <c r="G16" s="18" t="str">
        <f t="shared" si="0"/>
        <v>16-04-2026</v>
      </c>
      <c r="H16" s="11" t="str">
        <f t="shared" si="1"/>
        <v>HeadphonesBose</v>
      </c>
      <c r="I16" s="13" t="str">
        <f t="shared" si="2"/>
        <v>16-APR</v>
      </c>
      <c r="J16" s="13" t="str">
        <f t="shared" si="3"/>
        <v>ES</v>
      </c>
      <c r="K16" s="13" t="str">
        <f t="shared" si="4"/>
        <v>Headphones</v>
      </c>
      <c r="L16" s="14">
        <f t="shared" si="5"/>
        <v>250</v>
      </c>
    </row>
    <row r="17" s="1" customFormat="1" ht="15.75" customHeight="1" spans="1:12">
      <c r="A17" s="15" t="s">
        <v>97</v>
      </c>
      <c r="B17" s="16" t="s">
        <v>98</v>
      </c>
      <c r="C17" s="16" t="s">
        <v>99</v>
      </c>
      <c r="D17" s="16">
        <v>50</v>
      </c>
      <c r="E17" s="16">
        <v>35</v>
      </c>
      <c r="F17" s="16" t="s">
        <v>100</v>
      </c>
      <c r="G17" s="17" t="str">
        <f t="shared" si="0"/>
        <v>21-08-2026</v>
      </c>
      <c r="H17" s="11" t="str">
        <f t="shared" si="1"/>
        <v>Laptop BagSamsonite</v>
      </c>
      <c r="I17" s="13" t="str">
        <f t="shared" si="2"/>
        <v>21-AUG</v>
      </c>
      <c r="J17" s="13" t="str">
        <f t="shared" si="3"/>
        <v>CA</v>
      </c>
      <c r="K17" s="13" t="str">
        <f t="shared" si="4"/>
        <v>Laptop Bag</v>
      </c>
      <c r="L17" s="14">
        <f t="shared" si="5"/>
        <v>50</v>
      </c>
    </row>
    <row r="18" s="1" customFormat="1" ht="15.75" customHeight="1" spans="1:12">
      <c r="A18" s="8" t="s">
        <v>101</v>
      </c>
      <c r="B18" s="9" t="s">
        <v>93</v>
      </c>
      <c r="C18" s="9" t="s">
        <v>102</v>
      </c>
      <c r="D18" s="9">
        <v>160</v>
      </c>
      <c r="E18" s="9">
        <v>15</v>
      </c>
      <c r="F18" s="9" t="s">
        <v>56</v>
      </c>
      <c r="G18" s="18" t="str">
        <f t="shared" si="0"/>
        <v>20-08-2026</v>
      </c>
      <c r="H18" s="11" t="str">
        <f t="shared" si="1"/>
        <v>SmartwatchHuawei</v>
      </c>
      <c r="I18" s="13" t="str">
        <f t="shared" si="2"/>
        <v>20-AUG</v>
      </c>
      <c r="J18" s="13" t="str">
        <f t="shared" si="3"/>
        <v>CN</v>
      </c>
      <c r="K18" s="13" t="str">
        <f t="shared" si="4"/>
        <v>Smartwatch</v>
      </c>
      <c r="L18" s="14">
        <f t="shared" si="5"/>
        <v>160</v>
      </c>
    </row>
    <row r="19" s="1" customFormat="1" ht="15.75" customHeight="1" spans="1:12">
      <c r="A19" s="15" t="s">
        <v>103</v>
      </c>
      <c r="B19" s="16" t="s">
        <v>54</v>
      </c>
      <c r="C19" s="16" t="s">
        <v>104</v>
      </c>
      <c r="D19" s="16">
        <v>980</v>
      </c>
      <c r="E19" s="16">
        <v>10</v>
      </c>
      <c r="F19" s="16" t="s">
        <v>56</v>
      </c>
      <c r="G19" s="17" t="str">
        <f t="shared" si="0"/>
        <v>27-01-2026</v>
      </c>
      <c r="H19" s="11" t="str">
        <f t="shared" si="1"/>
        <v>LaptopAsus</v>
      </c>
      <c r="I19" s="13" t="str">
        <f t="shared" si="2"/>
        <v>27-JAN</v>
      </c>
      <c r="J19" s="13" t="str">
        <f t="shared" si="3"/>
        <v>IT</v>
      </c>
      <c r="K19" s="13" t="str">
        <f t="shared" si="4"/>
        <v>Laptop</v>
      </c>
      <c r="L19" s="14">
        <f t="shared" si="5"/>
        <v>980</v>
      </c>
    </row>
    <row r="20" s="1" customFormat="1" ht="15.75" customHeight="1" spans="1:12">
      <c r="A20" s="8" t="s">
        <v>105</v>
      </c>
      <c r="B20" s="9" t="s">
        <v>106</v>
      </c>
      <c r="C20" s="9" t="s">
        <v>107</v>
      </c>
      <c r="D20" s="9">
        <v>150</v>
      </c>
      <c r="E20" s="9">
        <v>15</v>
      </c>
      <c r="F20" s="9" t="s">
        <v>60</v>
      </c>
      <c r="G20" s="18" t="str">
        <f t="shared" si="0"/>
        <v>01-03-2026</v>
      </c>
      <c r="H20" s="11" t="str">
        <f t="shared" si="1"/>
        <v>SunglassesOakley</v>
      </c>
      <c r="I20" s="13" t="str">
        <f t="shared" si="2"/>
        <v>01-MAR</v>
      </c>
      <c r="J20" s="13" t="str">
        <f t="shared" si="3"/>
        <v>UK</v>
      </c>
      <c r="K20" s="13" t="str">
        <f t="shared" si="4"/>
        <v>Sunglasses</v>
      </c>
      <c r="L20" s="14">
        <f t="shared" si="5"/>
        <v>150</v>
      </c>
    </row>
    <row r="21" s="1" customFormat="1" ht="15.75" customHeight="1" spans="1:12">
      <c r="A21" s="15" t="s">
        <v>108</v>
      </c>
      <c r="B21" s="16" t="s">
        <v>109</v>
      </c>
      <c r="C21" s="16" t="s">
        <v>110</v>
      </c>
      <c r="D21" s="16">
        <v>200</v>
      </c>
      <c r="E21" s="16">
        <v>10</v>
      </c>
      <c r="F21" s="16" t="s">
        <v>71</v>
      </c>
      <c r="G21" s="17" t="str">
        <f t="shared" si="0"/>
        <v>14-08-2026</v>
      </c>
      <c r="H21" s="11" t="str">
        <f t="shared" si="1"/>
        <v>Camping TentColeman</v>
      </c>
      <c r="I21" s="13" t="str">
        <f t="shared" si="2"/>
        <v>14-AUG</v>
      </c>
      <c r="J21" s="13" t="str">
        <f t="shared" si="3"/>
        <v>US</v>
      </c>
      <c r="K21" s="13" t="str">
        <f t="shared" si="4"/>
        <v>Camping Tent</v>
      </c>
      <c r="L21" s="14">
        <f t="shared" si="5"/>
        <v>200</v>
      </c>
    </row>
    <row r="22" s="1" customFormat="1" ht="15.75" customHeight="1" spans="1:12">
      <c r="A22" s="8" t="s">
        <v>111</v>
      </c>
      <c r="B22" s="9" t="s">
        <v>112</v>
      </c>
      <c r="C22" s="9" t="s">
        <v>113</v>
      </c>
      <c r="D22" s="9">
        <v>700</v>
      </c>
      <c r="E22" s="9">
        <v>50</v>
      </c>
      <c r="F22" s="9" t="s">
        <v>56</v>
      </c>
      <c r="G22" s="18" t="str">
        <f t="shared" si="0"/>
        <v>14-05-2026</v>
      </c>
      <c r="H22" s="11" t="str">
        <f t="shared" si="1"/>
        <v>CameraNikon</v>
      </c>
      <c r="I22" s="13" t="str">
        <f t="shared" si="2"/>
        <v>14-MAY</v>
      </c>
      <c r="J22" s="13" t="str">
        <f t="shared" si="3"/>
        <v>RU</v>
      </c>
      <c r="K22" s="13" t="str">
        <f t="shared" si="4"/>
        <v>Camera</v>
      </c>
      <c r="L22" s="14">
        <f t="shared" si="5"/>
        <v>700</v>
      </c>
    </row>
    <row r="23" s="1" customFormat="1" ht="15.75" customHeight="1" spans="1:12">
      <c r="A23" s="15" t="s">
        <v>114</v>
      </c>
      <c r="B23" s="16" t="s">
        <v>115</v>
      </c>
      <c r="C23" s="16" t="s">
        <v>116</v>
      </c>
      <c r="D23" s="16">
        <v>80</v>
      </c>
      <c r="E23" s="16">
        <v>20</v>
      </c>
      <c r="F23" s="16" t="s">
        <v>64</v>
      </c>
      <c r="G23" s="17" t="str">
        <f t="shared" si="0"/>
        <v>09-01-2026</v>
      </c>
      <c r="H23" s="11" t="str">
        <f t="shared" si="1"/>
        <v>MicrowavePanasonic</v>
      </c>
      <c r="I23" s="13" t="str">
        <f t="shared" si="2"/>
        <v>09-JAN</v>
      </c>
      <c r="J23" s="13" t="str">
        <f t="shared" si="3"/>
        <v>CA</v>
      </c>
      <c r="K23" s="13" t="str">
        <f t="shared" si="4"/>
        <v>Microwave</v>
      </c>
      <c r="L23" s="14">
        <f t="shared" si="5"/>
        <v>80</v>
      </c>
    </row>
    <row r="24" s="1" customFormat="1" ht="15.75" customHeight="1" spans="1:12">
      <c r="A24" s="8" t="s">
        <v>117</v>
      </c>
      <c r="B24" s="9" t="s">
        <v>118</v>
      </c>
      <c r="C24" s="9" t="s">
        <v>119</v>
      </c>
      <c r="D24" s="9">
        <v>150</v>
      </c>
      <c r="E24" s="9">
        <v>30</v>
      </c>
      <c r="F24" s="9" t="s">
        <v>56</v>
      </c>
      <c r="G24" s="18" t="str">
        <f t="shared" si="0"/>
        <v>19-07-2026</v>
      </c>
      <c r="H24" s="11" t="str">
        <f t="shared" si="1"/>
        <v>Fitness TrackerXiaomi</v>
      </c>
      <c r="I24" s="13" t="str">
        <f t="shared" si="2"/>
        <v>19-JUL</v>
      </c>
      <c r="J24" s="13" t="str">
        <f t="shared" si="3"/>
        <v>BR</v>
      </c>
      <c r="K24" s="13" t="str">
        <f t="shared" si="4"/>
        <v>Fitness Tracker</v>
      </c>
      <c r="L24" s="14">
        <f t="shared" si="5"/>
        <v>150</v>
      </c>
    </row>
    <row r="25" s="1" customFormat="1" ht="15.75" customHeight="1" spans="1:12">
      <c r="A25" s="15" t="s">
        <v>97</v>
      </c>
      <c r="B25" s="16" t="s">
        <v>98</v>
      </c>
      <c r="C25" s="16" t="s">
        <v>99</v>
      </c>
      <c r="D25" s="16">
        <v>50</v>
      </c>
      <c r="E25" s="16">
        <v>35</v>
      </c>
      <c r="F25" s="16" t="s">
        <v>100</v>
      </c>
      <c r="G25" s="17" t="str">
        <f t="shared" si="0"/>
        <v>21-08-2026</v>
      </c>
      <c r="H25" s="11" t="str">
        <f t="shared" si="1"/>
        <v>Laptop BagSamsonite</v>
      </c>
      <c r="I25" s="13" t="str">
        <f t="shared" si="2"/>
        <v>21-AUG</v>
      </c>
      <c r="J25" s="13" t="str">
        <f t="shared" si="3"/>
        <v>CA</v>
      </c>
      <c r="K25" s="13" t="str">
        <f t="shared" si="4"/>
        <v>Laptop Bag</v>
      </c>
      <c r="L25" s="14">
        <f t="shared" si="5"/>
        <v>50</v>
      </c>
    </row>
    <row r="26" s="1" customFormat="1" ht="15.75" customHeight="1" spans="1:12">
      <c r="A26" s="8" t="s">
        <v>120</v>
      </c>
      <c r="B26" s="9" t="s">
        <v>66</v>
      </c>
      <c r="C26" s="9" t="s">
        <v>121</v>
      </c>
      <c r="D26" s="9">
        <v>800</v>
      </c>
      <c r="E26" s="9">
        <v>45</v>
      </c>
      <c r="F26" s="9" t="s">
        <v>56</v>
      </c>
      <c r="G26" s="18" t="str">
        <f t="shared" si="0"/>
        <v>29-09-2026</v>
      </c>
      <c r="H26" s="11" t="str">
        <f t="shared" si="1"/>
        <v>SmartphoneGoogle</v>
      </c>
      <c r="I26" s="13" t="str">
        <f t="shared" si="2"/>
        <v>29-SEP</v>
      </c>
      <c r="J26" s="13" t="str">
        <f t="shared" si="3"/>
        <v>CA</v>
      </c>
      <c r="K26" s="13" t="str">
        <f t="shared" si="4"/>
        <v>Smartphone</v>
      </c>
      <c r="L26" s="14">
        <f t="shared" si="5"/>
        <v>800</v>
      </c>
    </row>
    <row r="27" s="1" customFormat="1" ht="15.75" customHeight="1" spans="1:12">
      <c r="A27" s="15" t="s">
        <v>122</v>
      </c>
      <c r="B27" s="16" t="s">
        <v>106</v>
      </c>
      <c r="C27" s="16" t="s">
        <v>123</v>
      </c>
      <c r="D27" s="16">
        <v>130</v>
      </c>
      <c r="E27" s="16">
        <v>25</v>
      </c>
      <c r="F27" s="16" t="s">
        <v>60</v>
      </c>
      <c r="G27" s="17" t="str">
        <f t="shared" si="0"/>
        <v>03-06-2026</v>
      </c>
      <c r="H27" s="11" t="str">
        <f t="shared" si="1"/>
        <v>SunglassesRay-Ban</v>
      </c>
      <c r="I27" s="13" t="str">
        <f t="shared" si="2"/>
        <v>03-JUN</v>
      </c>
      <c r="J27" s="13" t="str">
        <f t="shared" si="3"/>
        <v>CA</v>
      </c>
      <c r="K27" s="13" t="str">
        <f t="shared" si="4"/>
        <v>Sunglasses</v>
      </c>
      <c r="L27" s="14">
        <f t="shared" si="5"/>
        <v>130</v>
      </c>
    </row>
    <row r="28" s="1" customFormat="1" ht="15.75" customHeight="1" spans="1:12">
      <c r="A28" s="8" t="s">
        <v>124</v>
      </c>
      <c r="B28" s="9" t="s">
        <v>79</v>
      </c>
      <c r="C28" s="9" t="s">
        <v>125</v>
      </c>
      <c r="D28" s="9">
        <v>400</v>
      </c>
      <c r="E28" s="9">
        <v>40</v>
      </c>
      <c r="F28" s="9" t="s">
        <v>64</v>
      </c>
      <c r="G28" s="18" t="str">
        <f t="shared" si="0"/>
        <v>11-07-2026</v>
      </c>
      <c r="H28" s="11" t="str">
        <f t="shared" si="1"/>
        <v>BlenderVitamix</v>
      </c>
      <c r="I28" s="13" t="str">
        <f t="shared" si="2"/>
        <v>11-JUL</v>
      </c>
      <c r="J28" s="13" t="str">
        <f t="shared" si="3"/>
        <v>CA</v>
      </c>
      <c r="K28" s="13" t="str">
        <f t="shared" si="4"/>
        <v>Blender</v>
      </c>
      <c r="L28" s="14">
        <f t="shared" si="5"/>
        <v>400</v>
      </c>
    </row>
    <row r="29" s="1" customFormat="1" ht="15.75" customHeight="1" spans="1:12">
      <c r="A29" s="15" t="s">
        <v>95</v>
      </c>
      <c r="B29" s="16" t="s">
        <v>73</v>
      </c>
      <c r="C29" s="16" t="s">
        <v>96</v>
      </c>
      <c r="D29" s="16">
        <v>230</v>
      </c>
      <c r="E29" s="16">
        <v>20</v>
      </c>
      <c r="F29" s="16" t="s">
        <v>56</v>
      </c>
      <c r="G29" s="17" t="str">
        <f t="shared" si="0"/>
        <v>16-04-2026</v>
      </c>
      <c r="H29" s="11" t="str">
        <f t="shared" si="1"/>
        <v>HeadphonesBose</v>
      </c>
      <c r="I29" s="13" t="str">
        <f t="shared" si="2"/>
        <v>16-APR</v>
      </c>
      <c r="J29" s="13" t="str">
        <f t="shared" si="3"/>
        <v>ES</v>
      </c>
      <c r="K29" s="13" t="str">
        <f t="shared" si="4"/>
        <v>Headphones</v>
      </c>
      <c r="L29" s="14">
        <f t="shared" si="5"/>
        <v>230</v>
      </c>
    </row>
    <row r="30" s="1" customFormat="1" ht="15.75" customHeight="1" spans="1:12">
      <c r="A30" s="8" t="s">
        <v>126</v>
      </c>
      <c r="B30" s="9" t="s">
        <v>127</v>
      </c>
      <c r="C30" s="9" t="s">
        <v>128</v>
      </c>
      <c r="D30" s="9">
        <v>60</v>
      </c>
      <c r="E30" s="9">
        <v>30</v>
      </c>
      <c r="F30" s="9" t="s">
        <v>60</v>
      </c>
      <c r="G30" s="18" t="str">
        <f t="shared" si="0"/>
        <v>07-03-2026</v>
      </c>
      <c r="H30" s="11" t="str">
        <f t="shared" si="1"/>
        <v>DressZara</v>
      </c>
      <c r="I30" s="13" t="str">
        <f t="shared" si="2"/>
        <v>07-MAR</v>
      </c>
      <c r="J30" s="13" t="str">
        <f t="shared" si="3"/>
        <v>CA</v>
      </c>
      <c r="K30" s="13" t="str">
        <f t="shared" si="4"/>
        <v>Dress</v>
      </c>
      <c r="L30" s="14">
        <f t="shared" si="5"/>
        <v>60</v>
      </c>
    </row>
    <row r="31" s="1" customFormat="1" ht="15.75" customHeight="1" spans="1:12">
      <c r="A31" s="15" t="s">
        <v>129</v>
      </c>
      <c r="B31" s="16" t="s">
        <v>130</v>
      </c>
      <c r="C31" s="16" t="s">
        <v>131</v>
      </c>
      <c r="D31" s="16">
        <v>40</v>
      </c>
      <c r="E31" s="16">
        <v>10</v>
      </c>
      <c r="F31" s="16" t="s">
        <v>64</v>
      </c>
      <c r="G31" s="17" t="str">
        <f t="shared" si="0"/>
        <v>13-04-2026</v>
      </c>
      <c r="H31" s="19" t="str">
        <f t="shared" si="1"/>
        <v>ToasterHamilton</v>
      </c>
      <c r="I31" s="13" t="str">
        <f t="shared" si="2"/>
        <v>13-APR</v>
      </c>
      <c r="J31" s="13" t="str">
        <f t="shared" si="3"/>
        <v>CA</v>
      </c>
      <c r="K31" s="13" t="str">
        <f t="shared" si="4"/>
        <v>Toaster</v>
      </c>
      <c r="L31" s="14">
        <f t="shared" si="5"/>
        <v>40</v>
      </c>
    </row>
    <row r="32" s="1" customFormat="1" ht="15.75" customHeight="1" spans="1:12">
      <c r="A32" s="8" t="s">
        <v>132</v>
      </c>
      <c r="B32" s="9" t="s">
        <v>118</v>
      </c>
      <c r="C32" s="9" t="s">
        <v>133</v>
      </c>
      <c r="D32" s="9">
        <v>130</v>
      </c>
      <c r="E32" s="9">
        <v>5</v>
      </c>
      <c r="F32" s="9" t="s">
        <v>56</v>
      </c>
      <c r="G32" s="18" t="str">
        <f t="shared" si="0"/>
        <v>24-05-2026</v>
      </c>
      <c r="H32" s="20" t="str">
        <f t="shared" si="1"/>
        <v>Fitness TrackerGarmin</v>
      </c>
      <c r="I32" s="13" t="str">
        <f t="shared" si="2"/>
        <v>24-MAY</v>
      </c>
      <c r="J32" s="13" t="str">
        <f t="shared" si="3"/>
        <v>CA</v>
      </c>
      <c r="K32" s="13" t="str">
        <f t="shared" si="4"/>
        <v>Fitness Tracker</v>
      </c>
      <c r="L32" s="14">
        <f t="shared" si="5"/>
        <v>130</v>
      </c>
    </row>
    <row r="33" s="1" customFormat="1" ht="15.75" customHeight="1" spans="1:12">
      <c r="A33" s="15" t="s">
        <v>134</v>
      </c>
      <c r="B33" s="16" t="s">
        <v>135</v>
      </c>
      <c r="C33" s="16" t="s">
        <v>136</v>
      </c>
      <c r="D33" s="16">
        <v>50</v>
      </c>
      <c r="E33" s="16">
        <v>50</v>
      </c>
      <c r="F33" s="16" t="s">
        <v>60</v>
      </c>
      <c r="G33" s="17" t="str">
        <f t="shared" si="0"/>
        <v>02-12-2026</v>
      </c>
      <c r="H33" s="20" t="str">
        <f t="shared" si="1"/>
        <v>JeansLevi's</v>
      </c>
      <c r="I33" s="13" t="str">
        <f t="shared" si="2"/>
        <v>02-DEC</v>
      </c>
      <c r="J33" s="13" t="str">
        <f t="shared" si="3"/>
        <v>CA</v>
      </c>
      <c r="K33" s="13" t="str">
        <f t="shared" si="4"/>
        <v>Jeans</v>
      </c>
      <c r="L33" s="14">
        <f t="shared" si="5"/>
        <v>50</v>
      </c>
    </row>
    <row r="34" s="1" customFormat="1" ht="15.75" customHeight="1" spans="1:12">
      <c r="A34" s="8" t="s">
        <v>87</v>
      </c>
      <c r="B34" s="9" t="s">
        <v>54</v>
      </c>
      <c r="C34" s="9" t="s">
        <v>88</v>
      </c>
      <c r="D34" s="9">
        <v>950</v>
      </c>
      <c r="E34" s="9">
        <v>25</v>
      </c>
      <c r="F34" s="9" t="s">
        <v>56</v>
      </c>
      <c r="G34" s="18" t="str">
        <f t="shared" si="0"/>
        <v>17-06-2026</v>
      </c>
      <c r="H34" s="20" t="str">
        <f t="shared" si="1"/>
        <v>LaptopHP</v>
      </c>
      <c r="I34" s="13" t="str">
        <f t="shared" si="2"/>
        <v>17-JUN</v>
      </c>
      <c r="J34" s="13" t="str">
        <f t="shared" si="3"/>
        <v>IN</v>
      </c>
      <c r="K34" s="13" t="str">
        <f t="shared" si="4"/>
        <v>Laptop</v>
      </c>
      <c r="L34" s="14">
        <f t="shared" si="5"/>
        <v>950</v>
      </c>
    </row>
    <row r="35" s="1" customFormat="1" ht="15.75" customHeight="1" spans="1:12">
      <c r="A35" s="21" t="s">
        <v>137</v>
      </c>
      <c r="B35" s="22" t="s">
        <v>138</v>
      </c>
      <c r="C35" s="22" t="s">
        <v>139</v>
      </c>
      <c r="D35" s="22">
        <v>100</v>
      </c>
      <c r="E35" s="22">
        <v>20</v>
      </c>
      <c r="F35" s="22" t="s">
        <v>100</v>
      </c>
      <c r="G35" s="23" t="str">
        <f t="shared" si="0"/>
        <v>09-07-2026</v>
      </c>
      <c r="H35" s="20" t="str">
        <f t="shared" si="1"/>
        <v>WatchCasio</v>
      </c>
      <c r="I35" s="24" t="str">
        <f t="shared" si="2"/>
        <v>09-JUL</v>
      </c>
      <c r="J35" s="24" t="str">
        <f t="shared" si="3"/>
        <v>FR</v>
      </c>
      <c r="K35" s="13" t="str">
        <f t="shared" si="4"/>
        <v>Watch</v>
      </c>
      <c r="L35" s="14">
        <f t="shared" si="5"/>
        <v>100</v>
      </c>
    </row>
    <row r="36" s="1" customFormat="1" ht="15.75" customHeight="1"/>
    <row r="37" s="1" customFormat="1" ht="15.75" customHeight="1" spans="1:12">
      <c r="D37" s="3">
        <f>SUM(D2:D36)</f>
        <v>10100</v>
      </c>
      <c r="E37" s="3">
        <f>SUM(E2:E36)</f>
        <v>900</v>
      </c>
      <c r="F37" s="3"/>
      <c r="G37" s="3"/>
      <c r="H37" s="3"/>
      <c r="I37" s="3"/>
      <c r="J37" s="3"/>
      <c r="K37" s="3"/>
      <c r="L37" s="3">
        <f>SUM(L2:L36)</f>
        <v>10100</v>
      </c>
    </row>
    <row r="38" s="1" customFormat="1" ht="15.75" customHeight="1"/>
    <row r="39" s="1" customFormat="1" ht="15.75" customHeight="1"/>
    <row r="40" s="1" customFormat="1" ht="15.75" customHeight="1"/>
    <row r="41" s="1" customFormat="1" ht="13"/>
    <row r="42" s="1" customFormat="1" ht="23.5" spans="1:12">
      <c r="A42" s="25" t="s">
        <v>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="2" customFormat="1" ht="13.2" customHeight="1" spans="1:12">
      <c r="A43" s="2" t="s">
        <v>1</v>
      </c>
    </row>
    <row r="44" s="1" customFormat="1" ht="13" spans="1:12">
      <c r="A44" s="26" t="s">
        <v>2</v>
      </c>
    </row>
    <row r="45" s="1" customFormat="1" ht="13"/>
    <row r="46" s="1" customFormat="1" ht="13"/>
    <row r="47" s="1" customFormat="1" ht="13"/>
    <row r="48" s="1" customFormat="1" ht="13" spans="1:12">
      <c r="A48" s="26" t="s">
        <v>140</v>
      </c>
    </row>
    <row r="49" s="1" customFormat="1" ht="13" spans="1:13">
      <c r="A49" s="26"/>
    </row>
    <row r="50" s="2" customFormat="1" ht="13" spans="1:13">
      <c r="A50" s="2" t="s">
        <v>3</v>
      </c>
    </row>
    <row r="51" s="1" customFormat="1" ht="13" spans="1:13">
      <c r="A51" s="26" t="s">
        <v>4</v>
      </c>
    </row>
    <row r="52" s="1" customFormat="1" ht="13"/>
    <row r="53" s="1" customFormat="1" ht="13"/>
    <row r="54" s="1" customFormat="1" ht="13" spans="1:13">
      <c r="A54" s="26" t="s">
        <v>5</v>
      </c>
    </row>
    <row r="55" s="1" customFormat="1" ht="13" spans="1:13">
      <c r="A55" s="26" t="s">
        <v>6</v>
      </c>
    </row>
    <row r="56" s="1" customFormat="1" ht="13" spans="1:13">
      <c r="A56" s="1" t="s">
        <v>7</v>
      </c>
    </row>
    <row r="57" s="1" customFormat="1" ht="13" spans="1:13">
      <c r="A57" s="27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</row>
    <row r="58" s="2" customFormat="1" ht="13" spans="1:13">
      <c r="A58" s="2" t="s">
        <v>8</v>
      </c>
    </row>
    <row r="59" s="1" customFormat="1" ht="13" spans="1:13">
      <c r="A59" s="26" t="s">
        <v>9</v>
      </c>
    </row>
    <row r="60" s="1" customFormat="1" ht="13" spans="1:13">
      <c r="A60" s="1" t="s">
        <v>10</v>
      </c>
    </row>
    <row r="61" s="1" customFormat="1" ht="13" spans="1:13">
      <c r="A61" s="27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</row>
    <row r="62" s="2" customFormat="1" ht="13" spans="1:13">
      <c r="A62" s="2" t="s">
        <v>11</v>
      </c>
    </row>
    <row r="63" s="1" customFormat="1" ht="13" spans="1:13">
      <c r="A63" s="26" t="s">
        <v>141</v>
      </c>
    </row>
    <row r="64" s="1" customFormat="1" ht="13" spans="1:13">
      <c r="A64" s="26" t="s">
        <v>142</v>
      </c>
    </row>
    <row r="65" s="1" customFormat="1" ht="13" spans="1:9">
      <c r="G65" s="27"/>
      <c r="H65" s="28"/>
      <c r="I65" s="28"/>
    </row>
    <row r="66" s="1" customFormat="1" ht="13"/>
    <row r="67" s="1" customFormat="1" ht="13" spans="1:9">
      <c r="G67" s="27"/>
      <c r="H67" s="28"/>
      <c r="I67" s="28"/>
    </row>
    <row r="68" s="1" customFormat="1" ht="13" spans="1:9">
      <c r="G68" s="26" t="s">
        <v>23</v>
      </c>
    </row>
    <row r="69" s="1" customFormat="1" ht="13" spans="1:9">
      <c r="A69" s="26" t="s">
        <v>12</v>
      </c>
    </row>
    <row r="70" s="1" customFormat="1" ht="13" spans="1:9">
      <c r="A70" s="1" t="s">
        <v>16</v>
      </c>
    </row>
    <row r="71" s="1" customFormat="1" ht="13"/>
    <row r="72" s="1" customFormat="1" ht="13"/>
    <row r="73" s="3" customFormat="1" ht="13" spans="1:9">
      <c r="A73" s="3" t="s">
        <v>143</v>
      </c>
    </row>
    <row r="74" s="3" customFormat="1" ht="13"/>
    <row r="75" s="3" customFormat="1" ht="13"/>
    <row r="76" s="2" customFormat="1" ht="13" spans="1:9">
      <c r="A76" s="2" t="s">
        <v>25</v>
      </c>
    </row>
    <row r="77" s="1" customFormat="1" ht="13" spans="1:9">
      <c r="A77" s="26" t="s">
        <v>28</v>
      </c>
    </row>
    <row r="78" s="1" customFormat="1" ht="13" spans="1:9">
      <c r="A78" s="26" t="s">
        <v>31</v>
      </c>
    </row>
    <row r="79" s="1" customFormat="1" ht="13" spans="1:9">
      <c r="A79" s="26" t="s">
        <v>34</v>
      </c>
    </row>
    <row r="80" s="1" customFormat="1" ht="13"/>
    <row r="81" s="1" customFormat="1" ht="13"/>
    <row r="82" s="1" customFormat="1" ht="13"/>
    <row r="83" s="1" customFormat="1" ht="13"/>
    <row r="84" s="2" customFormat="1" ht="13" spans="1:2">
      <c r="A84" s="2" t="s">
        <v>144</v>
      </c>
    </row>
    <row r="85" s="1" customFormat="1" ht="13" spans="1:2">
      <c r="A85" s="26" t="s">
        <v>145</v>
      </c>
    </row>
    <row r="86" s="1" customFormat="1" ht="13" spans="1:2">
      <c r="A86" s="26" t="s">
        <v>146</v>
      </c>
      <c r="B86" s="1" t="s">
        <v>147</v>
      </c>
    </row>
    <row r="87" s="1" customFormat="1" ht="13" spans="1:2">
      <c r="A87" s="1" t="s">
        <v>148</v>
      </c>
    </row>
    <row r="88" s="1" customFormat="1" ht="13" spans="1:2">
      <c r="A88" s="26"/>
    </row>
    <row r="89" s="1" customFormat="1" ht="13" spans="1:2">
      <c r="A89" s="26"/>
    </row>
    <row r="90" s="1" customFormat="1" ht="13" spans="1:2">
      <c r="A90" s="26"/>
    </row>
    <row r="91" s="1" customFormat="1" ht="15.75" customHeight="1"/>
    <row r="92" s="1" customFormat="1" ht="15.75" customHeight="1"/>
    <row r="93" s="1" customFormat="1" ht="15.75" customHeight="1"/>
    <row r="94" s="1" customFormat="1" ht="15.75" customHeight="1"/>
    <row r="95" s="1" customFormat="1" ht="15.75" customHeight="1"/>
    <row r="96" s="1" customFormat="1" ht="15.75" customHeight="1"/>
    <row r="97" s="1" customFormat="1" ht="15.75" customHeight="1"/>
    <row r="98" s="1" customFormat="1" ht="15.75" customHeight="1"/>
    <row r="99" s="1" customFormat="1" ht="15.75" customHeight="1"/>
    <row r="100" s="1" customFormat="1" ht="15.75" customHeight="1"/>
    <row r="101" s="1" customFormat="1" ht="15.75" customHeight="1"/>
    <row r="102" s="1" customFormat="1" ht="15.75" customHeight="1"/>
    <row r="103" s="1" customFormat="1" ht="15.75" customHeight="1"/>
    <row r="104" s="1" customFormat="1" ht="15.75" customHeight="1"/>
    <row r="105" s="1" customFormat="1" ht="15.75" customHeight="1"/>
    <row r="106" s="1" customFormat="1" ht="15.75" customHeight="1"/>
    <row r="107" s="1" customFormat="1" ht="15.75" customHeight="1"/>
    <row r="108" s="1" customFormat="1" ht="15.75" customHeight="1"/>
    <row r="109" s="1" customFormat="1" ht="15.75" customHeight="1"/>
    <row r="110" s="1" customFormat="1" ht="15.75" customHeight="1"/>
    <row r="111" s="1" customFormat="1" ht="15.75" customHeight="1"/>
    <row r="112" s="1" customFormat="1" ht="15.75" customHeight="1"/>
    <row r="113" s="1" customFormat="1" ht="15.75" customHeight="1"/>
    <row r="114" s="1" customFormat="1" ht="15.75" customHeight="1"/>
    <row r="115" s="1" customFormat="1" ht="15.75" customHeight="1"/>
    <row r="116" s="1" customFormat="1" ht="15.75" customHeight="1"/>
    <row r="117" s="1" customFormat="1" ht="15.75" customHeight="1"/>
    <row r="118" s="1" customFormat="1" ht="15.75" customHeight="1"/>
    <row r="119" s="1" customFormat="1" ht="15.75" customHeight="1"/>
    <row r="120" s="1" customFormat="1" ht="15.75" customHeight="1"/>
    <row r="121" s="1" customFormat="1" ht="15.75" customHeight="1"/>
    <row r="122" s="1" customFormat="1" ht="15.75" customHeight="1"/>
    <row r="123" s="1" customFormat="1" ht="15.75" customHeight="1"/>
    <row r="124" s="1" customFormat="1" ht="15.75" customHeight="1"/>
    <row r="125" s="1" customFormat="1" ht="15.75" customHeight="1"/>
    <row r="126" s="1" customFormat="1" ht="15.75" customHeight="1"/>
    <row r="127" s="1" customFormat="1" ht="15.75" customHeight="1"/>
    <row r="128" s="1" customFormat="1" ht="15.75" customHeight="1"/>
    <row r="129" s="1" customFormat="1" ht="15.75" customHeight="1"/>
    <row r="130" s="1" customFormat="1" ht="15.75" customHeight="1"/>
    <row r="131" s="1" customFormat="1" ht="15.75" customHeight="1"/>
    <row r="132" s="1" customFormat="1" ht="15.75" customHeight="1"/>
    <row r="133" s="1" customFormat="1" ht="15.75" customHeight="1"/>
    <row r="134" s="1" customFormat="1" ht="15.75" customHeight="1"/>
    <row r="135" s="1" customFormat="1" ht="15.75" customHeight="1"/>
    <row r="136" s="1" customFormat="1" ht="15.75" customHeight="1"/>
    <row r="137" s="1" customFormat="1" ht="15.75" customHeight="1"/>
    <row r="138" s="1" customFormat="1" ht="15.75" customHeight="1"/>
    <row r="139" s="1" customFormat="1" ht="15.75" customHeight="1"/>
    <row r="140" s="1" customFormat="1" ht="15.75" customHeight="1"/>
    <row r="141" s="1" customFormat="1" ht="15.75" customHeight="1"/>
    <row r="142" s="1" customFormat="1" ht="15.75" customHeight="1"/>
    <row r="143" s="1" customFormat="1" ht="15.75" customHeight="1"/>
    <row r="144" s="1" customFormat="1" ht="15.75" customHeight="1"/>
    <row r="145" s="1" customFormat="1" ht="15.75" customHeight="1"/>
    <row r="146" s="1" customFormat="1" ht="15.75" customHeight="1"/>
    <row r="147" s="1" customFormat="1" ht="15.75" customHeight="1"/>
    <row r="148" s="1" customFormat="1" ht="15.75" customHeight="1"/>
    <row r="149" s="1" customFormat="1" ht="15.75" customHeight="1"/>
    <row r="150" s="1" customFormat="1" ht="15.75" customHeight="1"/>
    <row r="151" s="1" customFormat="1" ht="15.75" customHeight="1"/>
    <row r="152" s="1" customFormat="1" ht="15.75" customHeight="1"/>
    <row r="153" s="1" customFormat="1" ht="15.75" customHeight="1"/>
    <row r="154" s="1" customFormat="1" ht="15.75" customHeight="1"/>
    <row r="155" s="1" customFormat="1" ht="15.75" customHeight="1"/>
    <row r="156" s="1" customFormat="1" ht="15.75" customHeight="1"/>
    <row r="157" s="1" customFormat="1" ht="15.75" customHeight="1"/>
    <row r="158" s="1" customFormat="1" ht="15.75" customHeight="1"/>
    <row r="159" s="1" customFormat="1" ht="15.75" customHeight="1"/>
    <row r="160" s="1" customFormat="1" ht="15.75" customHeight="1"/>
    <row r="161" s="1" customFormat="1" ht="15.75" customHeight="1"/>
    <row r="162" s="1" customFormat="1" ht="15.75" customHeight="1"/>
    <row r="163" s="1" customFormat="1" ht="15.75" customHeight="1"/>
    <row r="164" s="1" customFormat="1" ht="15.75" customHeight="1"/>
    <row r="165" s="1" customFormat="1" ht="15.75" customHeight="1"/>
    <row r="166" s="1" customFormat="1" ht="15.75" customHeight="1"/>
    <row r="167" s="1" customFormat="1" ht="15.75" customHeight="1"/>
    <row r="168" s="1" customFormat="1" ht="15.75" customHeight="1"/>
    <row r="169" s="1" customFormat="1" ht="15.75" customHeight="1"/>
    <row r="170" s="1" customFormat="1" ht="15.75" customHeight="1"/>
    <row r="171" s="1" customFormat="1" ht="15.75" customHeight="1"/>
    <row r="172" s="1" customFormat="1" ht="15.75" customHeight="1"/>
    <row r="173" s="1" customFormat="1" ht="15.75" customHeight="1"/>
    <row r="174" s="1" customFormat="1" ht="15.75" customHeight="1"/>
    <row r="175" s="1" customFormat="1" ht="15.75" customHeight="1"/>
    <row r="176" s="1" customFormat="1" ht="15.75" customHeight="1"/>
    <row r="177" s="1" customFormat="1" ht="15.75" customHeight="1"/>
    <row r="178" s="1" customFormat="1" ht="15.75" customHeight="1"/>
    <row r="179" s="1" customFormat="1" ht="15.75" customHeight="1"/>
    <row r="180" s="1" customFormat="1" ht="15.75" customHeight="1"/>
    <row r="181" s="1" customFormat="1" ht="15.75" customHeight="1"/>
    <row r="182" s="1" customFormat="1" ht="15.75" customHeight="1"/>
    <row r="183" s="1" customFormat="1" ht="15.75" customHeight="1"/>
    <row r="184" s="1" customFormat="1" ht="15.75" customHeight="1"/>
    <row r="185" s="1" customFormat="1" ht="15.75" customHeight="1"/>
    <row r="186" s="1" customFormat="1" ht="15.75" customHeight="1"/>
    <row r="187" s="1" customFormat="1" ht="15.75" customHeight="1"/>
    <row r="188" s="1" customFormat="1" ht="15.75" customHeight="1"/>
    <row r="189" s="1" customFormat="1" ht="15.75" customHeight="1"/>
    <row r="190" s="1" customFormat="1" ht="15.75" customHeight="1"/>
    <row r="191" s="1" customFormat="1" ht="15.75" customHeight="1"/>
    <row r="192" s="1" customFormat="1" ht="15.75" customHeight="1"/>
    <row r="193" s="1" customFormat="1" ht="15.75" customHeight="1"/>
    <row r="194" s="1" customFormat="1" ht="15.75" customHeight="1"/>
    <row r="195" s="1" customFormat="1" ht="15.75" customHeight="1"/>
    <row r="196" s="1" customFormat="1" ht="15.75" customHeight="1"/>
    <row r="197" s="1" customFormat="1" ht="15.75" customHeight="1"/>
    <row r="198" s="1" customFormat="1" ht="15.75" customHeight="1"/>
    <row r="199" s="1" customFormat="1" ht="15.75" customHeight="1"/>
    <row r="200" s="1" customFormat="1" ht="15.75" customHeight="1"/>
    <row r="201" s="1" customFormat="1" ht="15.75" customHeight="1"/>
    <row r="202" s="1" customFormat="1" ht="15.75" customHeight="1"/>
    <row r="203" s="1" customFormat="1" ht="15.75" customHeight="1"/>
    <row r="204" s="1" customFormat="1" ht="15.75" customHeight="1"/>
    <row r="205" s="1" customFormat="1" ht="15.75" customHeight="1"/>
    <row r="206" s="1" customFormat="1" ht="15.75" customHeight="1"/>
    <row r="207" s="1" customFormat="1" ht="15.75" customHeight="1"/>
    <row r="208" s="1" customFormat="1" ht="15.75" customHeight="1"/>
    <row r="209" s="1" customFormat="1" ht="15.75" customHeight="1"/>
    <row r="210" s="1" customFormat="1" ht="15.75" customHeight="1"/>
    <row r="211" s="1" customFormat="1" ht="15.75" customHeight="1"/>
    <row r="212" s="1" customFormat="1" ht="15.75" customHeight="1"/>
    <row r="213" s="1" customFormat="1" ht="15.75" customHeight="1"/>
    <row r="214" s="1" customFormat="1" ht="15.75" customHeight="1"/>
    <row r="215" s="1" customFormat="1" ht="15.75" customHeight="1"/>
    <row r="216" s="1" customFormat="1" ht="15.75" customHeight="1"/>
    <row r="217" s="1" customFormat="1" ht="15.75" customHeight="1"/>
    <row r="218" s="1" customFormat="1" ht="15.75" customHeight="1"/>
    <row r="219" s="1" customFormat="1" ht="15.75" customHeight="1"/>
    <row r="220" s="1" customFormat="1" ht="15.75" customHeight="1"/>
    <row r="221" s="1" customFormat="1" ht="15.75" customHeight="1"/>
    <row r="222" s="1" customFormat="1" ht="15.75" customHeight="1"/>
    <row r="223" s="1" customFormat="1" ht="15.75" customHeight="1"/>
    <row r="224" s="1" customFormat="1" ht="15.75" customHeight="1"/>
    <row r="225" s="1" customFormat="1" ht="15.75" customHeight="1"/>
    <row r="226" s="1" customFormat="1" ht="15.75" customHeight="1"/>
    <row r="227" s="1" customFormat="1" ht="15.75" customHeight="1"/>
    <row r="228" s="1" customFormat="1" ht="15.75" customHeight="1"/>
    <row r="229" s="1" customFormat="1" ht="15.75" customHeight="1"/>
    <row r="230" s="1" customFormat="1" ht="15.75" customHeight="1"/>
    <row r="231" s="1" customFormat="1" ht="15.75" customHeight="1"/>
    <row r="232" s="1" customFormat="1" ht="15.75" customHeight="1"/>
    <row r="233" s="1" customFormat="1" ht="15.75" customHeight="1"/>
    <row r="234" s="1" customFormat="1" ht="15.75" customHeight="1"/>
    <row r="235" s="1" customFormat="1" ht="15.75" customHeight="1"/>
    <row r="236" s="1" customFormat="1" ht="15.75" customHeight="1"/>
    <row r="237" s="1" customFormat="1" ht="15.75" customHeight="1"/>
    <row r="238" s="1" customFormat="1" ht="15.75" customHeight="1"/>
    <row r="239" s="1" customFormat="1" ht="15.75" customHeight="1"/>
    <row r="240" s="1" customFormat="1" ht="15.75" customHeight="1"/>
    <row r="241" s="1" customFormat="1" ht="15.75" customHeight="1"/>
    <row r="242" s="1" customFormat="1" ht="15.75" customHeight="1"/>
    <row r="243" s="1" customFormat="1" ht="15.75" customHeight="1"/>
    <row r="244" s="1" customFormat="1" ht="15.75" customHeight="1"/>
    <row r="245" s="1" customFormat="1" ht="15.75" customHeight="1"/>
    <row r="246" s="1" customFormat="1" ht="15.75" customHeight="1"/>
    <row r="247" s="1" customFormat="1" ht="15.75" customHeight="1"/>
    <row r="248" s="1" customFormat="1" ht="15.75" customHeight="1"/>
    <row r="249" s="1" customFormat="1" ht="15.75" customHeight="1"/>
    <row r="250" s="1" customFormat="1" ht="15.75" customHeight="1"/>
    <row r="251" s="1" customFormat="1" ht="15.75" customHeight="1"/>
    <row r="252" s="1" customFormat="1" ht="15.75" customHeight="1"/>
    <row r="253" s="1" customFormat="1" ht="15.75" customHeight="1"/>
    <row r="254" s="1" customFormat="1" ht="15.75" customHeight="1"/>
    <row r="255" s="1" customFormat="1" ht="15.75" customHeight="1"/>
    <row r="256" s="1" customFormat="1" ht="15.75" customHeight="1"/>
    <row r="257" s="1" customFormat="1" ht="15.75" customHeight="1"/>
    <row r="258" s="1" customFormat="1" ht="15.75" customHeight="1"/>
    <row r="259" s="1" customFormat="1" ht="15.75" customHeight="1"/>
    <row r="260" s="1" customFormat="1" ht="15.75" customHeight="1"/>
    <row r="261" s="1" customFormat="1" ht="15.75" customHeight="1"/>
    <row r="262" s="1" customFormat="1" ht="15.75" customHeight="1"/>
    <row r="263" s="1" customFormat="1" ht="15.75" customHeight="1"/>
    <row r="264" s="1" customFormat="1" ht="15.75" customHeight="1"/>
    <row r="265" s="1" customFormat="1" ht="15.75" customHeight="1"/>
    <row r="266" s="1" customFormat="1" ht="15.75" customHeight="1"/>
    <row r="267" s="1" customFormat="1" ht="15.75" customHeight="1"/>
    <row r="268" s="1" customFormat="1" ht="15.75" customHeight="1"/>
    <row r="269" s="1" customFormat="1" ht="15.75" customHeight="1"/>
    <row r="270" s="1" customFormat="1" ht="15.75" customHeight="1"/>
    <row r="271" s="1" customFormat="1" ht="15.75" customHeight="1"/>
    <row r="272" s="1" customFormat="1" ht="15.75" customHeight="1"/>
    <row r="273" s="1" customFormat="1" ht="15.75" customHeight="1"/>
    <row r="274" s="1" customFormat="1" ht="15.75" customHeight="1"/>
    <row r="275" s="1" customFormat="1" ht="15.75" customHeight="1"/>
    <row r="276" s="1" customFormat="1" ht="15.75" customHeight="1"/>
    <row r="277" s="1" customFormat="1" ht="15.75" customHeight="1"/>
    <row r="278" s="1" customFormat="1" ht="15.75" customHeight="1"/>
    <row r="279" s="1" customFormat="1" ht="15.75" customHeight="1"/>
    <row r="280" s="1" customFormat="1" ht="15.75" customHeight="1"/>
    <row r="281" s="1" customFormat="1" ht="15.75" customHeight="1"/>
    <row r="282" s="1" customFormat="1" ht="15.75" customHeight="1"/>
    <row r="283" s="1" customFormat="1" ht="15.75" customHeight="1"/>
    <row r="284" s="1" customFormat="1" ht="15.75" customHeight="1"/>
    <row r="285" s="1" customFormat="1" ht="15.75" customHeight="1"/>
    <row r="286" s="1" customFormat="1" ht="15.75" customHeight="1"/>
    <row r="287" s="1" customFormat="1" ht="15.75" customHeight="1"/>
    <row r="288" s="1" customFormat="1" ht="15.75" customHeight="1"/>
    <row r="289" s="1" customFormat="1" ht="15.75" customHeight="1"/>
    <row r="290" s="1" customFormat="1" ht="15.75" customHeight="1"/>
    <row r="291" s="1" customFormat="1" ht="15.75" customHeight="1"/>
    <row r="292" s="1" customFormat="1" ht="15.75" customHeight="1"/>
    <row r="293" s="1" customFormat="1" ht="15.75" customHeight="1"/>
    <row r="294" s="1" customFormat="1" ht="15.75" customHeight="1"/>
    <row r="295" s="1" customFormat="1" ht="15.75" customHeight="1"/>
    <row r="296" s="1" customFormat="1" ht="15.75" customHeight="1"/>
    <row r="297" s="1" customFormat="1" ht="15.75" customHeight="1"/>
    <row r="298" s="1" customFormat="1" ht="15.75" customHeight="1"/>
    <row r="299" s="1" customFormat="1" ht="15.75" customHeight="1"/>
    <row r="300" s="1" customFormat="1" ht="15.75" customHeight="1"/>
    <row r="301" s="1" customFormat="1" ht="15.75" customHeight="1"/>
    <row r="302" s="1" customFormat="1" ht="15.75" customHeight="1"/>
    <row r="303" s="1" customFormat="1" ht="15.75" customHeight="1"/>
    <row r="304" s="1" customFormat="1" ht="15.75" customHeight="1"/>
    <row r="305" s="1" customFormat="1" ht="15.75" customHeight="1"/>
    <row r="306" s="1" customFormat="1" ht="15.75" customHeight="1"/>
    <row r="307" s="1" customFormat="1" ht="15.75" customHeight="1"/>
    <row r="308" s="1" customFormat="1" ht="15.75" customHeight="1"/>
    <row r="309" s="1" customFormat="1" ht="15.75" customHeight="1"/>
    <row r="310" s="1" customFormat="1" ht="15.75" customHeight="1"/>
    <row r="311" s="1" customFormat="1" ht="15.75" customHeight="1"/>
    <row r="312" s="1" customFormat="1" ht="15.75" customHeight="1"/>
    <row r="313" s="1" customFormat="1" ht="15.75" customHeight="1"/>
    <row r="314" s="1" customFormat="1" ht="15.75" customHeight="1"/>
    <row r="315" s="1" customFormat="1" ht="15.75" customHeight="1"/>
    <row r="316" s="1" customFormat="1" ht="15.75" customHeight="1"/>
    <row r="317" s="1" customFormat="1" ht="15.75" customHeight="1"/>
    <row r="318" s="1" customFormat="1" ht="15.75" customHeight="1"/>
    <row r="319" s="1" customFormat="1" ht="15.75" customHeight="1"/>
    <row r="320" s="1" customFormat="1" ht="15.75" customHeight="1"/>
    <row r="321" s="1" customFormat="1" ht="15.75" customHeight="1"/>
    <row r="322" s="1" customFormat="1" ht="15.75" customHeight="1"/>
    <row r="323" s="1" customFormat="1" ht="15.75" customHeight="1"/>
    <row r="324" s="1" customFormat="1" ht="15.75" customHeight="1"/>
    <row r="325" s="1" customFormat="1" ht="15.75" customHeight="1"/>
    <row r="326" s="1" customFormat="1" ht="15.75" customHeight="1"/>
    <row r="327" s="1" customFormat="1" ht="15.75" customHeight="1"/>
    <row r="328" s="1" customFormat="1" ht="15.75" customHeight="1"/>
    <row r="329" s="1" customFormat="1" ht="15.75" customHeight="1"/>
    <row r="330" s="1" customFormat="1" ht="15.75" customHeight="1"/>
    <row r="331" s="1" customFormat="1" ht="15.75" customHeight="1"/>
    <row r="332" s="1" customFormat="1" ht="15.75" customHeight="1"/>
    <row r="333" s="1" customFormat="1" ht="15.75" customHeight="1"/>
    <row r="334" s="1" customFormat="1" ht="15.75" customHeight="1"/>
    <row r="335" s="1" customFormat="1" ht="15.75" customHeight="1"/>
    <row r="336" s="1" customFormat="1" ht="15.75" customHeight="1"/>
    <row r="337" s="1" customFormat="1" ht="15.75" customHeight="1"/>
    <row r="338" s="1" customFormat="1" ht="15.75" customHeight="1"/>
    <row r="339" s="1" customFormat="1" ht="15.75" customHeight="1"/>
    <row r="340" s="1" customFormat="1" ht="15.75" customHeight="1"/>
    <row r="341" s="1" customFormat="1" ht="15.75" customHeight="1"/>
    <row r="342" s="1" customFormat="1" ht="15.75" customHeight="1"/>
    <row r="343" s="1" customFormat="1" ht="15.75" customHeight="1"/>
    <row r="344" s="1" customFormat="1" ht="15.75" customHeight="1"/>
    <row r="345" s="1" customFormat="1" ht="15.75" customHeight="1"/>
    <row r="346" s="1" customFormat="1" ht="15.75" customHeight="1"/>
    <row r="347" s="1" customFormat="1" ht="15.75" customHeight="1"/>
    <row r="348" s="1" customFormat="1" ht="15.75" customHeight="1"/>
    <row r="349" s="1" customFormat="1" ht="15.75" customHeight="1"/>
    <row r="350" s="1" customFormat="1" ht="15.75" customHeight="1"/>
    <row r="351" s="1" customFormat="1" ht="15.75" customHeight="1"/>
    <row r="352" s="1" customFormat="1" ht="15.75" customHeight="1"/>
    <row r="353" s="1" customFormat="1" ht="15.75" customHeight="1"/>
    <row r="354" s="1" customFormat="1" ht="15.75" customHeight="1"/>
    <row r="355" s="1" customFormat="1" ht="15.75" customHeight="1"/>
    <row r="356" s="1" customFormat="1" ht="15.75" customHeight="1"/>
    <row r="357" s="1" customFormat="1" ht="15.75" customHeight="1"/>
    <row r="358" s="1" customFormat="1" ht="15.75" customHeight="1"/>
    <row r="359" s="1" customFormat="1" ht="15.75" customHeight="1"/>
    <row r="360" s="1" customFormat="1" ht="15.75" customHeight="1"/>
    <row r="361" s="1" customFormat="1" ht="15.75" customHeight="1"/>
    <row r="362" s="1" customFormat="1" ht="15.75" customHeight="1"/>
    <row r="363" s="1" customFormat="1" ht="15.75" customHeight="1"/>
    <row r="364" s="1" customFormat="1" ht="15.75" customHeight="1"/>
    <row r="365" s="1" customFormat="1" ht="15.75" customHeight="1"/>
    <row r="366" s="1" customFormat="1" ht="15.75" customHeight="1"/>
    <row r="367" s="1" customFormat="1" ht="15.75" customHeight="1"/>
    <row r="368" s="1" customFormat="1" ht="15.75" customHeight="1"/>
    <row r="369" s="1" customFormat="1" ht="15.75" customHeight="1"/>
    <row r="370" s="1" customFormat="1" ht="15.75" customHeight="1"/>
    <row r="371" s="1" customFormat="1" ht="15.75" customHeight="1"/>
    <row r="372" s="1" customFormat="1" ht="15.75" customHeight="1"/>
    <row r="373" s="1" customFormat="1" ht="15.75" customHeight="1"/>
    <row r="374" s="1" customFormat="1" ht="15.75" customHeight="1"/>
    <row r="375" s="1" customFormat="1" ht="15.75" customHeight="1"/>
    <row r="376" s="1" customFormat="1" ht="15.75" customHeight="1"/>
    <row r="377" s="1" customFormat="1" ht="15.75" customHeight="1"/>
    <row r="378" s="1" customFormat="1" ht="15.75" customHeight="1"/>
    <row r="379" s="1" customFormat="1" ht="15.75" customHeight="1"/>
    <row r="380" s="1" customFormat="1" ht="15.75" customHeight="1"/>
    <row r="381" s="1" customFormat="1" ht="15.75" customHeight="1"/>
    <row r="382" s="1" customFormat="1" ht="15.75" customHeight="1"/>
    <row r="383" s="1" customFormat="1" ht="15.75" customHeight="1"/>
    <row r="384" s="1" customFormat="1" ht="15.75" customHeight="1"/>
    <row r="385" s="1" customFormat="1" ht="15.75" customHeight="1"/>
    <row r="386" s="1" customFormat="1" ht="15.75" customHeight="1"/>
    <row r="387" s="1" customFormat="1" ht="15.75" customHeight="1"/>
    <row r="388" s="1" customFormat="1" ht="15.75" customHeight="1"/>
    <row r="389" s="1" customFormat="1" ht="15.75" customHeight="1"/>
    <row r="390" s="1" customFormat="1" ht="15.75" customHeight="1"/>
    <row r="391" s="1" customFormat="1" ht="15.75" customHeight="1"/>
    <row r="392" s="1" customFormat="1" ht="15.75" customHeight="1"/>
    <row r="393" s="1" customFormat="1" ht="15.75" customHeight="1"/>
    <row r="394" s="1" customFormat="1" ht="15.75" customHeight="1"/>
    <row r="395" s="1" customFormat="1" ht="15.75" customHeight="1"/>
    <row r="396" s="1" customFormat="1" ht="15.75" customHeight="1"/>
    <row r="397" s="1" customFormat="1" ht="15.75" customHeight="1"/>
    <row r="398" s="1" customFormat="1" ht="15.75" customHeight="1"/>
    <row r="399" s="1" customFormat="1" ht="15.75" customHeight="1"/>
    <row r="400" s="1" customFormat="1" ht="15.75" customHeight="1"/>
    <row r="401" s="1" customFormat="1" ht="15.75" customHeight="1"/>
    <row r="402" s="1" customFormat="1" ht="15.75" customHeight="1"/>
    <row r="403" s="1" customFormat="1" ht="15.75" customHeight="1"/>
    <row r="404" s="1" customFormat="1" ht="15.75" customHeight="1"/>
    <row r="405" s="1" customFormat="1" ht="15.75" customHeight="1"/>
    <row r="406" s="1" customFormat="1" ht="15.75" customHeight="1"/>
    <row r="407" s="1" customFormat="1" ht="15.75" customHeight="1"/>
    <row r="408" s="1" customFormat="1" ht="15.75" customHeight="1"/>
    <row r="409" s="1" customFormat="1" ht="15.75" customHeight="1"/>
    <row r="410" s="1" customFormat="1" ht="15.75" customHeight="1"/>
    <row r="411" s="1" customFormat="1" ht="15.75" customHeight="1"/>
    <row r="412" s="1" customFormat="1" ht="15.75" customHeight="1"/>
    <row r="413" s="1" customFormat="1" ht="15.75" customHeight="1"/>
    <row r="414" s="1" customFormat="1" ht="15.75" customHeight="1"/>
    <row r="415" s="1" customFormat="1" ht="15.75" customHeight="1"/>
    <row r="416" s="1" customFormat="1" ht="15.75" customHeight="1"/>
    <row r="417" s="1" customFormat="1" ht="15.75" customHeight="1"/>
    <row r="418" s="1" customFormat="1" ht="15.75" customHeight="1"/>
    <row r="419" s="1" customFormat="1" ht="15.75" customHeight="1"/>
    <row r="420" s="1" customFormat="1" ht="15.75" customHeight="1"/>
    <row r="421" s="1" customFormat="1" ht="15.75" customHeight="1"/>
    <row r="422" s="1" customFormat="1" ht="15.75" customHeight="1"/>
    <row r="423" s="1" customFormat="1" ht="15.75" customHeight="1"/>
    <row r="424" s="1" customFormat="1" ht="15.75" customHeight="1"/>
    <row r="425" s="1" customFormat="1" ht="15.75" customHeight="1"/>
    <row r="426" s="1" customFormat="1" ht="15.75" customHeight="1"/>
    <row r="427" s="1" customFormat="1" ht="15.75" customHeight="1"/>
    <row r="428" s="1" customFormat="1" ht="15.75" customHeight="1"/>
    <row r="429" s="1" customFormat="1" ht="15.75" customHeight="1"/>
    <row r="430" s="1" customFormat="1" ht="15.75" customHeight="1"/>
    <row r="431" s="1" customFormat="1" ht="15.75" customHeight="1"/>
    <row r="432" s="1" customFormat="1" ht="15.75" customHeight="1"/>
    <row r="433" s="1" customFormat="1" ht="15.75" customHeight="1"/>
    <row r="434" s="1" customFormat="1" ht="15.75" customHeight="1"/>
    <row r="435" s="1" customFormat="1" ht="15.75" customHeight="1"/>
    <row r="436" s="1" customFormat="1" ht="15.75" customHeight="1"/>
    <row r="437" s="1" customFormat="1" ht="15.75" customHeight="1"/>
    <row r="438" s="1" customFormat="1" ht="15.75" customHeight="1"/>
    <row r="439" s="1" customFormat="1" ht="15.75" customHeight="1"/>
    <row r="440" s="1" customFormat="1" ht="15.75" customHeight="1"/>
    <row r="441" s="1" customFormat="1" ht="15.75" customHeight="1"/>
    <row r="442" s="1" customFormat="1" ht="15.75" customHeight="1"/>
    <row r="443" s="1" customFormat="1" ht="15.75" customHeight="1"/>
    <row r="444" s="1" customFormat="1" ht="15.75" customHeight="1"/>
    <row r="445" s="1" customFormat="1" ht="15.75" customHeight="1"/>
    <row r="446" s="1" customFormat="1" ht="15.75" customHeight="1"/>
    <row r="447" s="1" customFormat="1" ht="15.75" customHeight="1"/>
    <row r="448" s="1" customFormat="1" ht="15.75" customHeight="1"/>
    <row r="449" s="1" customFormat="1" ht="15.75" customHeight="1"/>
    <row r="450" s="1" customFormat="1" ht="15.75" customHeight="1"/>
    <row r="451" s="1" customFormat="1" ht="15.75" customHeight="1"/>
    <row r="452" s="1" customFormat="1" ht="15.75" customHeight="1"/>
    <row r="453" s="1" customFormat="1" ht="15.75" customHeight="1"/>
    <row r="454" s="1" customFormat="1" ht="15.75" customHeight="1"/>
    <row r="455" s="1" customFormat="1" ht="15.75" customHeight="1"/>
    <row r="456" s="1" customFormat="1" ht="15.75" customHeight="1"/>
    <row r="457" s="1" customFormat="1" ht="15.75" customHeight="1"/>
    <row r="458" s="1" customFormat="1" ht="15.75" customHeight="1"/>
    <row r="459" s="1" customFormat="1" ht="15.75" customHeight="1"/>
    <row r="460" s="1" customFormat="1" ht="15.75" customHeight="1"/>
    <row r="461" s="1" customFormat="1" ht="15.75" customHeight="1"/>
    <row r="462" s="1" customFormat="1" ht="15.75" customHeight="1"/>
    <row r="463" s="1" customFormat="1" ht="15.75" customHeight="1"/>
    <row r="464" s="1" customFormat="1" ht="15.75" customHeight="1"/>
    <row r="465" s="1" customFormat="1" ht="15.75" customHeight="1"/>
    <row r="466" s="1" customFormat="1" ht="15.75" customHeight="1"/>
    <row r="467" s="1" customFormat="1" ht="15.75" customHeight="1"/>
    <row r="468" s="1" customFormat="1" ht="15.75" customHeight="1"/>
    <row r="469" s="1" customFormat="1" ht="15.75" customHeight="1"/>
    <row r="470" s="1" customFormat="1" ht="15.75" customHeight="1"/>
    <row r="471" s="1" customFormat="1" ht="15.75" customHeight="1"/>
    <row r="472" s="1" customFormat="1" ht="15.75" customHeight="1"/>
    <row r="473" s="1" customFormat="1" ht="15.75" customHeight="1"/>
    <row r="474" s="1" customFormat="1" ht="15.75" customHeight="1"/>
    <row r="475" s="1" customFormat="1" ht="15.75" customHeight="1"/>
    <row r="476" s="1" customFormat="1" ht="15.75" customHeight="1"/>
    <row r="477" s="1" customFormat="1" ht="15.75" customHeight="1"/>
    <row r="478" s="1" customFormat="1" ht="15.75" customHeight="1"/>
    <row r="479" s="1" customFormat="1" ht="15.75" customHeight="1"/>
    <row r="480" s="1" customFormat="1" ht="15.75" customHeight="1"/>
    <row r="481" s="1" customFormat="1" ht="15.75" customHeight="1"/>
    <row r="482" s="1" customFormat="1" ht="15.75" customHeight="1"/>
    <row r="483" s="1" customFormat="1" ht="15.75" customHeight="1"/>
    <row r="484" s="1" customFormat="1" ht="15.75" customHeight="1"/>
    <row r="485" s="1" customFormat="1" ht="15.75" customHeight="1"/>
    <row r="486" s="1" customFormat="1" ht="15.75" customHeight="1"/>
    <row r="487" s="1" customFormat="1" ht="15.75" customHeight="1"/>
    <row r="488" s="1" customFormat="1" ht="15.75" customHeight="1"/>
    <row r="489" s="1" customFormat="1" ht="15.75" customHeight="1"/>
    <row r="490" s="1" customFormat="1" ht="15.75" customHeight="1"/>
    <row r="491" s="1" customFormat="1" ht="15.75" customHeight="1"/>
    <row r="492" s="1" customFormat="1" ht="15.75" customHeight="1"/>
    <row r="493" s="1" customFormat="1" ht="15.75" customHeight="1"/>
    <row r="494" s="1" customFormat="1" ht="15.75" customHeight="1"/>
    <row r="495" s="1" customFormat="1" ht="15.75" customHeight="1"/>
    <row r="496" s="1" customFormat="1" ht="15.75" customHeight="1"/>
    <row r="497" s="1" customFormat="1" ht="15.75" customHeight="1"/>
    <row r="498" s="1" customFormat="1" ht="15.75" customHeight="1"/>
    <row r="499" s="1" customFormat="1" ht="15.75" customHeight="1"/>
    <row r="500" s="1" customFormat="1" ht="15.75" customHeight="1"/>
    <row r="501" s="1" customFormat="1" ht="15.75" customHeight="1"/>
    <row r="502" s="1" customFormat="1" ht="15.75" customHeight="1"/>
    <row r="503" s="1" customFormat="1" ht="15.75" customHeight="1"/>
    <row r="504" s="1" customFormat="1" ht="15.75" customHeight="1"/>
    <row r="505" s="1" customFormat="1" ht="15.75" customHeight="1"/>
    <row r="506" s="1" customFormat="1" ht="15.75" customHeight="1"/>
    <row r="507" s="1" customFormat="1" ht="15.75" customHeight="1"/>
    <row r="508" s="1" customFormat="1" ht="15.75" customHeight="1"/>
    <row r="509" s="1" customFormat="1" ht="15.75" customHeight="1"/>
    <row r="510" s="1" customFormat="1" ht="15.75" customHeight="1"/>
    <row r="511" s="1" customFormat="1" ht="15.75" customHeight="1"/>
    <row r="512" s="1" customFormat="1" ht="15.75" customHeight="1"/>
    <row r="513" s="1" customFormat="1" ht="15.75" customHeight="1"/>
    <row r="514" s="1" customFormat="1" ht="15.75" customHeight="1"/>
    <row r="515" s="1" customFormat="1" ht="15.75" customHeight="1"/>
    <row r="516" s="1" customFormat="1" ht="15.75" customHeight="1"/>
    <row r="517" s="1" customFormat="1" ht="15.75" customHeight="1"/>
    <row r="518" s="1" customFormat="1" ht="15.75" customHeight="1"/>
    <row r="519" s="1" customFormat="1" ht="15.75" customHeight="1"/>
    <row r="520" s="1" customFormat="1" ht="15.75" customHeight="1"/>
    <row r="521" s="1" customFormat="1" ht="15.75" customHeight="1"/>
    <row r="522" s="1" customFormat="1" ht="15.75" customHeight="1"/>
    <row r="523" s="1" customFormat="1" ht="15.75" customHeight="1"/>
    <row r="524" s="1" customFormat="1" ht="15.75" customHeight="1"/>
    <row r="525" s="1" customFormat="1" ht="15.75" customHeight="1"/>
    <row r="526" s="1" customFormat="1" ht="15.75" customHeight="1"/>
    <row r="527" s="1" customFormat="1" ht="15.75" customHeight="1"/>
    <row r="528" s="1" customFormat="1" ht="15.75" customHeight="1"/>
    <row r="529" s="1" customFormat="1" ht="15.75" customHeight="1"/>
    <row r="530" s="1" customFormat="1" ht="15.75" customHeight="1"/>
    <row r="531" s="1" customFormat="1" ht="15.75" customHeight="1"/>
    <row r="532" s="1" customFormat="1" ht="15.75" customHeight="1"/>
    <row r="533" s="1" customFormat="1" ht="15.75" customHeight="1"/>
    <row r="534" s="1" customFormat="1" ht="15.75" customHeight="1"/>
    <row r="535" s="1" customFormat="1" ht="15.75" customHeight="1"/>
    <row r="536" s="1" customFormat="1" ht="15.75" customHeight="1"/>
    <row r="537" s="1" customFormat="1" ht="15.75" customHeight="1"/>
    <row r="538" s="1" customFormat="1" ht="15.75" customHeight="1"/>
    <row r="539" s="1" customFormat="1" ht="15.75" customHeight="1"/>
    <row r="540" s="1" customFormat="1" ht="15.75" customHeight="1"/>
    <row r="541" s="1" customFormat="1" ht="15.75" customHeight="1"/>
    <row r="542" s="1" customFormat="1" ht="15.75" customHeight="1"/>
    <row r="543" s="1" customFormat="1" ht="15.75" customHeight="1"/>
    <row r="544" s="1" customFormat="1" ht="15.75" customHeight="1"/>
    <row r="545" s="1" customFormat="1" ht="15.75" customHeight="1"/>
    <row r="546" s="1" customFormat="1" ht="15.75" customHeight="1"/>
    <row r="547" s="1" customFormat="1" ht="15.75" customHeight="1"/>
    <row r="548" s="1" customFormat="1" ht="15.75" customHeight="1"/>
    <row r="549" s="1" customFormat="1" ht="15.75" customHeight="1"/>
    <row r="550" s="1" customFormat="1" ht="15.75" customHeight="1"/>
    <row r="551" s="1" customFormat="1" ht="15.75" customHeight="1"/>
    <row r="552" s="1" customFormat="1" ht="15.75" customHeight="1"/>
    <row r="553" s="1" customFormat="1" ht="15.75" customHeight="1"/>
    <row r="554" s="1" customFormat="1" ht="15.75" customHeight="1"/>
    <row r="555" s="1" customFormat="1" ht="15.75" customHeight="1"/>
    <row r="556" s="1" customFormat="1" ht="15.75" customHeight="1"/>
    <row r="557" s="1" customFormat="1" ht="15.75" customHeight="1"/>
    <row r="558" s="1" customFormat="1" ht="15.75" customHeight="1"/>
    <row r="559" s="1" customFormat="1" ht="15.75" customHeight="1"/>
    <row r="560" s="1" customFormat="1" ht="15.75" customHeight="1"/>
    <row r="561" s="1" customFormat="1" ht="15.75" customHeight="1"/>
    <row r="562" s="1" customFormat="1" ht="15.75" customHeight="1"/>
    <row r="563" s="1" customFormat="1" ht="15.75" customHeight="1"/>
    <row r="564" s="1" customFormat="1" ht="15.75" customHeight="1"/>
    <row r="565" s="1" customFormat="1" ht="15.75" customHeight="1"/>
    <row r="566" s="1" customFormat="1" ht="15.75" customHeight="1"/>
    <row r="567" s="1" customFormat="1" ht="15.75" customHeight="1"/>
    <row r="568" s="1" customFormat="1" ht="15.75" customHeight="1"/>
    <row r="569" s="1" customFormat="1" ht="15.75" customHeight="1"/>
    <row r="570" s="1" customFormat="1" ht="15.75" customHeight="1"/>
    <row r="571" s="1" customFormat="1" ht="15.75" customHeight="1"/>
    <row r="572" s="1" customFormat="1" ht="15.75" customHeight="1"/>
    <row r="573" s="1" customFormat="1" ht="15.75" customHeight="1"/>
    <row r="574" s="1" customFormat="1" ht="15.75" customHeight="1"/>
    <row r="575" s="1" customFormat="1" ht="15.75" customHeight="1"/>
    <row r="576" s="1" customFormat="1" ht="15.75" customHeight="1"/>
    <row r="577" s="1" customFormat="1" ht="15.75" customHeight="1"/>
    <row r="578" s="1" customFormat="1" ht="15.75" customHeight="1"/>
    <row r="579" s="1" customFormat="1" ht="15.75" customHeight="1"/>
    <row r="580" s="1" customFormat="1" ht="15.75" customHeight="1"/>
    <row r="581" s="1" customFormat="1" ht="15.75" customHeight="1"/>
    <row r="582" s="1" customFormat="1" ht="15.75" customHeight="1"/>
    <row r="583" s="1" customFormat="1" ht="15.75" customHeight="1"/>
    <row r="584" s="1" customFormat="1" ht="15.75" customHeight="1"/>
    <row r="585" s="1" customFormat="1" ht="15.75" customHeight="1"/>
    <row r="586" s="1" customFormat="1" ht="15.75" customHeight="1"/>
    <row r="587" s="1" customFormat="1" ht="15.75" customHeight="1"/>
    <row r="588" s="1" customFormat="1" ht="15.75" customHeight="1"/>
    <row r="589" s="1" customFormat="1" ht="15.75" customHeight="1"/>
    <row r="590" s="1" customFormat="1" ht="15.75" customHeight="1"/>
    <row r="591" s="1" customFormat="1" ht="15.75" customHeight="1"/>
    <row r="592" s="1" customFormat="1" ht="15.75" customHeight="1"/>
    <row r="593" s="1" customFormat="1" ht="15.75" customHeight="1"/>
    <row r="594" s="1" customFormat="1" ht="15.75" customHeight="1"/>
    <row r="595" s="1" customFormat="1" ht="15.75" customHeight="1"/>
    <row r="596" s="1" customFormat="1" ht="15.75" customHeight="1"/>
    <row r="597" s="1" customFormat="1" ht="15.75" customHeight="1"/>
    <row r="598" s="1" customFormat="1" ht="15.75" customHeight="1"/>
    <row r="599" s="1" customFormat="1" ht="15.75" customHeight="1"/>
    <row r="600" s="1" customFormat="1" ht="15.75" customHeight="1"/>
    <row r="601" s="1" customFormat="1" ht="15.75" customHeight="1"/>
    <row r="602" s="1" customFormat="1" ht="15.75" customHeight="1"/>
    <row r="603" s="1" customFormat="1" ht="15.75" customHeight="1"/>
    <row r="604" s="1" customFormat="1" ht="15.75" customHeight="1"/>
    <row r="605" s="1" customFormat="1" ht="15.75" customHeight="1"/>
    <row r="606" s="1" customFormat="1" ht="15.75" customHeight="1"/>
    <row r="607" s="1" customFormat="1" ht="15.75" customHeight="1"/>
    <row r="608" s="1" customFormat="1" ht="15.75" customHeight="1"/>
    <row r="609" s="1" customFormat="1" ht="15.75" customHeight="1"/>
    <row r="610" s="1" customFormat="1" ht="15.75" customHeight="1"/>
    <row r="611" s="1" customFormat="1" ht="15.75" customHeight="1"/>
    <row r="612" s="1" customFormat="1" ht="15.75" customHeight="1"/>
    <row r="613" s="1" customFormat="1" ht="15.75" customHeight="1"/>
    <row r="614" s="1" customFormat="1" ht="15.75" customHeight="1"/>
    <row r="615" s="1" customFormat="1" ht="15.75" customHeight="1"/>
    <row r="616" s="1" customFormat="1" ht="15.75" customHeight="1"/>
    <row r="617" s="1" customFormat="1" ht="15.75" customHeight="1"/>
    <row r="618" s="1" customFormat="1" ht="15.75" customHeight="1"/>
    <row r="619" s="1" customFormat="1" ht="15.75" customHeight="1"/>
    <row r="620" s="1" customFormat="1" ht="15.75" customHeight="1"/>
    <row r="621" s="1" customFormat="1" ht="15.75" customHeight="1"/>
    <row r="622" s="1" customFormat="1" ht="15.75" customHeight="1"/>
    <row r="623" s="1" customFormat="1" ht="15.75" customHeight="1"/>
    <row r="624" s="1" customFormat="1" ht="15.75" customHeight="1"/>
    <row r="625" s="1" customFormat="1" ht="15.75" customHeight="1"/>
    <row r="626" s="1" customFormat="1" ht="15.75" customHeight="1"/>
    <row r="627" s="1" customFormat="1" ht="15.75" customHeight="1"/>
    <row r="628" s="1" customFormat="1" ht="15.75" customHeight="1"/>
    <row r="629" s="1" customFormat="1" ht="15.75" customHeight="1"/>
    <row r="630" s="1" customFormat="1" ht="15.75" customHeight="1"/>
    <row r="631" s="1" customFormat="1" ht="15.75" customHeight="1"/>
    <row r="632" s="1" customFormat="1" ht="15.75" customHeight="1"/>
    <row r="633" s="1" customFormat="1" ht="15.75" customHeight="1"/>
    <row r="634" s="1" customFormat="1" ht="15.75" customHeight="1"/>
    <row r="635" s="1" customFormat="1" ht="15.75" customHeight="1"/>
    <row r="636" s="1" customFormat="1" ht="15.75" customHeight="1"/>
    <row r="637" s="1" customFormat="1" ht="15.75" customHeight="1"/>
    <row r="638" s="1" customFormat="1" ht="15.75" customHeight="1"/>
    <row r="639" s="1" customFormat="1" ht="15.75" customHeight="1"/>
    <row r="640" s="1" customFormat="1" ht="15.75" customHeight="1"/>
    <row r="641" s="1" customFormat="1" ht="15.75" customHeight="1"/>
    <row r="642" s="1" customFormat="1" ht="15.75" customHeight="1"/>
    <row r="643" s="1" customFormat="1" ht="15.75" customHeight="1"/>
    <row r="644" s="1" customFormat="1" ht="15.75" customHeight="1"/>
    <row r="645" s="1" customFormat="1" ht="15.75" customHeight="1"/>
    <row r="646" s="1" customFormat="1" ht="15.75" customHeight="1"/>
    <row r="647" s="1" customFormat="1" ht="15.75" customHeight="1"/>
    <row r="648" s="1" customFormat="1" ht="15.75" customHeight="1"/>
    <row r="649" s="1" customFormat="1" ht="15.75" customHeight="1"/>
    <row r="650" s="1" customFormat="1" ht="15.75" customHeight="1"/>
    <row r="651" s="1" customFormat="1" ht="15.75" customHeight="1"/>
    <row r="652" s="1" customFormat="1" ht="15.75" customHeight="1"/>
    <row r="653" s="1" customFormat="1" ht="15.75" customHeight="1"/>
    <row r="654" s="1" customFormat="1" ht="15.75" customHeight="1"/>
    <row r="655" s="1" customFormat="1" ht="15.75" customHeight="1"/>
    <row r="656" s="1" customFormat="1" ht="15.75" customHeight="1"/>
    <row r="657" s="1" customFormat="1" ht="15.75" customHeight="1"/>
    <row r="658" s="1" customFormat="1" ht="15.75" customHeight="1"/>
    <row r="659" s="1" customFormat="1" ht="15.75" customHeight="1"/>
    <row r="660" s="1" customFormat="1" ht="15.75" customHeight="1"/>
    <row r="661" s="1" customFormat="1" ht="15.75" customHeight="1"/>
    <row r="662" s="1" customFormat="1" ht="15.75" customHeight="1"/>
    <row r="663" s="1" customFormat="1" ht="15.75" customHeight="1"/>
    <row r="664" s="1" customFormat="1" ht="15.75" customHeight="1"/>
    <row r="665" s="1" customFormat="1" ht="15.75" customHeight="1"/>
    <row r="666" s="1" customFormat="1" ht="15.75" customHeight="1"/>
    <row r="667" s="1" customFormat="1" ht="15.75" customHeight="1"/>
    <row r="668" s="1" customFormat="1" ht="15.75" customHeight="1"/>
    <row r="669" s="1" customFormat="1" ht="15.75" customHeight="1"/>
    <row r="670" s="1" customFormat="1" ht="15.75" customHeight="1"/>
    <row r="671" s="1" customFormat="1" ht="15.75" customHeight="1"/>
    <row r="672" s="1" customFormat="1" ht="15.75" customHeight="1"/>
    <row r="673" s="1" customFormat="1" ht="15.75" customHeight="1"/>
    <row r="674" s="1" customFormat="1" ht="15.75" customHeight="1"/>
    <row r="675" s="1" customFormat="1" ht="15.75" customHeight="1"/>
    <row r="676" s="1" customFormat="1" ht="15.75" customHeight="1"/>
    <row r="677" s="1" customFormat="1" ht="15.75" customHeight="1"/>
    <row r="678" s="1" customFormat="1" ht="15.75" customHeight="1"/>
    <row r="679" s="1" customFormat="1" ht="15.75" customHeight="1"/>
    <row r="680" s="1" customFormat="1" ht="15.75" customHeight="1"/>
    <row r="681" s="1" customFormat="1" ht="15.75" customHeight="1"/>
    <row r="682" s="1" customFormat="1" ht="15.75" customHeight="1"/>
    <row r="683" s="1" customFormat="1" ht="15.75" customHeight="1"/>
    <row r="684" s="1" customFormat="1" ht="15.75" customHeight="1"/>
    <row r="685" s="1" customFormat="1" ht="15.75" customHeight="1"/>
    <row r="686" s="1" customFormat="1" ht="15.75" customHeight="1"/>
    <row r="687" s="1" customFormat="1" ht="15.75" customHeight="1"/>
    <row r="688" s="1" customFormat="1" ht="15.75" customHeight="1"/>
    <row r="689" s="1" customFormat="1" ht="15.75" customHeight="1"/>
    <row r="690" s="1" customFormat="1" ht="15.75" customHeight="1"/>
    <row r="691" s="1" customFormat="1" ht="15.75" customHeight="1"/>
    <row r="692" s="1" customFormat="1" ht="15.75" customHeight="1"/>
    <row r="693" s="1" customFormat="1" ht="15.75" customHeight="1"/>
    <row r="694" s="1" customFormat="1" ht="15.75" customHeight="1"/>
    <row r="695" s="1" customFormat="1" ht="15.75" customHeight="1"/>
    <row r="696" s="1" customFormat="1" ht="15.75" customHeight="1"/>
    <row r="697" s="1" customFormat="1" ht="15.75" customHeight="1"/>
    <row r="698" s="1" customFormat="1" ht="15.75" customHeight="1"/>
    <row r="699" s="1" customFormat="1" ht="15.75" customHeight="1"/>
    <row r="700" s="1" customFormat="1" ht="15.75" customHeight="1"/>
    <row r="701" s="1" customFormat="1" ht="15.75" customHeight="1"/>
    <row r="702" s="1" customFormat="1" ht="15.75" customHeight="1"/>
    <row r="703" s="1" customFormat="1" ht="15.75" customHeight="1"/>
    <row r="704" s="1" customFormat="1" ht="15.75" customHeight="1"/>
    <row r="705" s="1" customFormat="1" ht="15.75" customHeight="1"/>
    <row r="706" s="1" customFormat="1" ht="15.75" customHeight="1"/>
    <row r="707" s="1" customFormat="1" ht="15.75" customHeight="1"/>
    <row r="708" s="1" customFormat="1" ht="15.75" customHeight="1"/>
    <row r="709" s="1" customFormat="1" ht="15.75" customHeight="1"/>
    <row r="710" s="1" customFormat="1" ht="15.75" customHeight="1"/>
    <row r="711" s="1" customFormat="1" ht="15.75" customHeight="1"/>
    <row r="712" s="1" customFormat="1" ht="15.75" customHeight="1"/>
    <row r="713" s="1" customFormat="1" ht="15.75" customHeight="1"/>
    <row r="714" s="1" customFormat="1" ht="15.75" customHeight="1"/>
    <row r="715" s="1" customFormat="1" ht="15.75" customHeight="1"/>
    <row r="716" s="1" customFormat="1" ht="15.75" customHeight="1"/>
    <row r="717" s="1" customFormat="1" ht="15.75" customHeight="1"/>
    <row r="718" s="1" customFormat="1" ht="15.75" customHeight="1"/>
    <row r="719" s="1" customFormat="1" ht="15.75" customHeight="1"/>
    <row r="720" s="1" customFormat="1" ht="15.75" customHeight="1"/>
    <row r="721" s="1" customFormat="1" ht="15.75" customHeight="1"/>
    <row r="722" s="1" customFormat="1" ht="15.75" customHeight="1"/>
    <row r="723" s="1" customFormat="1" ht="15.75" customHeight="1"/>
    <row r="724" s="1" customFormat="1" ht="15.75" customHeight="1"/>
    <row r="725" s="1" customFormat="1" ht="15.75" customHeight="1"/>
    <row r="726" s="1" customFormat="1" ht="15.75" customHeight="1"/>
    <row r="727" s="1" customFormat="1" ht="15.75" customHeight="1"/>
    <row r="728" s="1" customFormat="1" ht="15.75" customHeight="1"/>
    <row r="729" s="1" customFormat="1" ht="15.75" customHeight="1"/>
    <row r="730" s="1" customFormat="1" ht="15.75" customHeight="1"/>
    <row r="731" s="1" customFormat="1" ht="15.75" customHeight="1"/>
    <row r="732" s="1" customFormat="1" ht="15.75" customHeight="1"/>
    <row r="733" s="1" customFormat="1" ht="15.75" customHeight="1"/>
    <row r="734" s="1" customFormat="1" ht="15.75" customHeight="1"/>
    <row r="735" s="1" customFormat="1" ht="15.75" customHeight="1"/>
    <row r="736" s="1" customFormat="1" ht="15.75" customHeight="1"/>
    <row r="737" s="1" customFormat="1" ht="15.75" customHeight="1"/>
    <row r="738" s="1" customFormat="1" ht="15.75" customHeight="1"/>
    <row r="739" s="1" customFormat="1" ht="15.75" customHeight="1"/>
    <row r="740" s="1" customFormat="1" ht="15.75" customHeight="1"/>
    <row r="741" s="1" customFormat="1" ht="15.75" customHeight="1"/>
    <row r="742" s="1" customFormat="1" ht="15.75" customHeight="1"/>
    <row r="743" s="1" customFormat="1" ht="15.75" customHeight="1"/>
    <row r="744" s="1" customFormat="1" ht="15.75" customHeight="1"/>
    <row r="745" s="1" customFormat="1" ht="15.75" customHeight="1"/>
    <row r="746" s="1" customFormat="1" ht="15.75" customHeight="1"/>
    <row r="747" s="1" customFormat="1" ht="15.75" customHeight="1"/>
    <row r="748" s="1" customFormat="1" ht="15.75" customHeight="1"/>
    <row r="749" s="1" customFormat="1" ht="15.75" customHeight="1"/>
    <row r="750" s="1" customFormat="1" ht="15.75" customHeight="1"/>
    <row r="751" s="1" customFormat="1" ht="15.75" customHeight="1"/>
    <row r="752" s="1" customFormat="1" ht="15.75" customHeight="1"/>
    <row r="753" s="1" customFormat="1" ht="15.75" customHeight="1"/>
    <row r="754" s="1" customFormat="1" ht="15.75" customHeight="1"/>
    <row r="755" s="1" customFormat="1" ht="15.75" customHeight="1"/>
    <row r="756" s="1" customFormat="1" ht="15.75" customHeight="1"/>
    <row r="757" s="1" customFormat="1" ht="15.75" customHeight="1"/>
    <row r="758" s="1" customFormat="1" ht="15.75" customHeight="1"/>
    <row r="759" s="1" customFormat="1" ht="15.75" customHeight="1"/>
    <row r="760" s="1" customFormat="1" ht="15.75" customHeight="1"/>
    <row r="761" s="1" customFormat="1" ht="15.75" customHeight="1"/>
    <row r="762" s="1" customFormat="1" ht="15.75" customHeight="1"/>
    <row r="763" s="1" customFormat="1" ht="15.75" customHeight="1"/>
    <row r="764" s="1" customFormat="1" ht="15.75" customHeight="1"/>
    <row r="765" s="1" customFormat="1" ht="15.75" customHeight="1"/>
    <row r="766" s="1" customFormat="1" ht="15.75" customHeight="1"/>
    <row r="767" s="1" customFormat="1" ht="15.75" customHeight="1"/>
    <row r="768" s="1" customFormat="1" ht="15.75" customHeight="1"/>
    <row r="769" s="1" customFormat="1" ht="15.75" customHeight="1"/>
    <row r="770" s="1" customFormat="1" ht="15.75" customHeight="1"/>
    <row r="771" s="1" customFormat="1" ht="15.75" customHeight="1"/>
    <row r="772" s="1" customFormat="1" ht="15.75" customHeight="1"/>
    <row r="773" s="1" customFormat="1" ht="15.75" customHeight="1"/>
    <row r="774" s="1" customFormat="1" ht="15.75" customHeight="1"/>
    <row r="775" s="1" customFormat="1" ht="15.75" customHeight="1"/>
    <row r="776" s="1" customFormat="1" ht="15.75" customHeight="1"/>
    <row r="777" s="1" customFormat="1" ht="15.75" customHeight="1"/>
    <row r="778" s="1" customFormat="1" ht="15.75" customHeight="1"/>
    <row r="779" s="1" customFormat="1" ht="15.75" customHeight="1"/>
    <row r="780" s="1" customFormat="1" ht="15.75" customHeight="1"/>
    <row r="781" s="1" customFormat="1" ht="15.75" customHeight="1"/>
    <row r="782" s="1" customFormat="1" ht="15.75" customHeight="1"/>
    <row r="783" s="1" customFormat="1" ht="15.75" customHeight="1"/>
    <row r="784" s="1" customFormat="1" ht="15.75" customHeight="1"/>
    <row r="785" s="1" customFormat="1" ht="15.75" customHeight="1"/>
    <row r="786" s="1" customFormat="1" ht="15.75" customHeight="1"/>
    <row r="787" s="1" customFormat="1" ht="15.75" customHeight="1"/>
    <row r="788" s="1" customFormat="1" ht="15.75" customHeight="1"/>
    <row r="789" s="1" customFormat="1" ht="15.75" customHeight="1"/>
    <row r="790" s="1" customFormat="1" ht="15.75" customHeight="1"/>
    <row r="791" s="1" customFormat="1" ht="15.75" customHeight="1"/>
    <row r="792" s="1" customFormat="1" ht="15.75" customHeight="1"/>
    <row r="793" s="1" customFormat="1" ht="15.75" customHeight="1"/>
    <row r="794" s="1" customFormat="1" ht="15.75" customHeight="1"/>
    <row r="795" s="1" customFormat="1" ht="15.75" customHeight="1"/>
    <row r="796" s="1" customFormat="1" ht="15.75" customHeight="1"/>
    <row r="797" s="1" customFormat="1" ht="15.75" customHeight="1"/>
    <row r="798" s="1" customFormat="1" ht="15.75" customHeight="1"/>
    <row r="799" s="1" customFormat="1" ht="15.75" customHeight="1"/>
    <row r="800" s="1" customFormat="1" ht="15.75" customHeight="1"/>
    <row r="801" s="1" customFormat="1" ht="15.75" customHeight="1"/>
    <row r="802" s="1" customFormat="1" ht="15.75" customHeight="1"/>
    <row r="803" s="1" customFormat="1" ht="15.75" customHeight="1"/>
    <row r="804" s="1" customFormat="1" ht="15.75" customHeight="1"/>
    <row r="805" s="1" customFormat="1" ht="15.75" customHeight="1"/>
    <row r="806" s="1" customFormat="1" ht="15.75" customHeight="1"/>
    <row r="807" s="1" customFormat="1" ht="15.75" customHeight="1"/>
    <row r="808" s="1" customFormat="1" ht="15.75" customHeight="1"/>
    <row r="809" s="1" customFormat="1" ht="15.75" customHeight="1"/>
    <row r="810" s="1" customFormat="1" ht="15.75" customHeight="1"/>
    <row r="811" s="1" customFormat="1" ht="15.75" customHeight="1"/>
    <row r="812" s="1" customFormat="1" ht="15.75" customHeight="1"/>
    <row r="813" s="1" customFormat="1" ht="15.75" customHeight="1"/>
    <row r="814" s="1" customFormat="1" ht="15.75" customHeight="1"/>
    <row r="815" s="1" customFormat="1" ht="15.75" customHeight="1"/>
    <row r="816" s="1" customFormat="1" ht="15.75" customHeight="1"/>
    <row r="817" s="1" customFormat="1" ht="15.75" customHeight="1"/>
    <row r="818" s="1" customFormat="1" ht="15.75" customHeight="1"/>
    <row r="819" s="1" customFormat="1" ht="15.75" customHeight="1"/>
    <row r="820" s="1" customFormat="1" ht="15.75" customHeight="1"/>
    <row r="821" s="1" customFormat="1" ht="15.75" customHeight="1"/>
    <row r="822" s="1" customFormat="1" ht="15.75" customHeight="1"/>
    <row r="823" s="1" customFormat="1" ht="15.75" customHeight="1"/>
    <row r="824" s="1" customFormat="1" ht="15.75" customHeight="1"/>
    <row r="825" s="1" customFormat="1" ht="15.75" customHeight="1"/>
    <row r="826" s="1" customFormat="1" ht="15.75" customHeight="1"/>
    <row r="827" s="1" customFormat="1" ht="15.75" customHeight="1"/>
    <row r="828" s="1" customFormat="1" ht="15.75" customHeight="1"/>
    <row r="829" s="1" customFormat="1" ht="15.75" customHeight="1"/>
    <row r="830" s="1" customFormat="1" ht="15.75" customHeight="1"/>
    <row r="831" s="1" customFormat="1" ht="15.75" customHeight="1"/>
    <row r="832" s="1" customFormat="1" ht="15.75" customHeight="1"/>
    <row r="833" s="1" customFormat="1" ht="15.75" customHeight="1"/>
    <row r="834" s="1" customFormat="1" ht="15.75" customHeight="1"/>
    <row r="835" s="1" customFormat="1" ht="15.75" customHeight="1"/>
    <row r="836" s="1" customFormat="1" ht="15.75" customHeight="1"/>
    <row r="837" s="1" customFormat="1" ht="15.75" customHeight="1"/>
    <row r="838" s="1" customFormat="1" ht="15.75" customHeight="1"/>
    <row r="839" s="1" customFormat="1" ht="15.75" customHeight="1"/>
    <row r="840" s="1" customFormat="1" ht="15.75" customHeight="1"/>
    <row r="841" s="1" customFormat="1" ht="15.75" customHeight="1"/>
    <row r="842" s="1" customFormat="1" ht="15.75" customHeight="1"/>
    <row r="843" s="1" customFormat="1" ht="15.75" customHeight="1"/>
    <row r="844" s="1" customFormat="1" ht="15.75" customHeight="1"/>
    <row r="845" s="1" customFormat="1" ht="15.75" customHeight="1"/>
    <row r="846" s="1" customFormat="1" ht="15.75" customHeight="1"/>
    <row r="847" s="1" customFormat="1" ht="15.75" customHeight="1"/>
    <row r="848" s="1" customFormat="1" ht="15.75" customHeight="1"/>
    <row r="849" s="1" customFormat="1" ht="15.75" customHeight="1"/>
    <row r="850" s="1" customFormat="1" ht="15.75" customHeight="1"/>
    <row r="851" s="1" customFormat="1" ht="15.75" customHeight="1"/>
    <row r="852" s="1" customFormat="1" ht="15.75" customHeight="1"/>
    <row r="853" s="1" customFormat="1" ht="15.75" customHeight="1"/>
    <row r="854" s="1" customFormat="1" ht="15.75" customHeight="1"/>
    <row r="855" s="1" customFormat="1" ht="15.75" customHeight="1"/>
    <row r="856" s="1" customFormat="1" ht="15.75" customHeight="1"/>
    <row r="857" s="1" customFormat="1" ht="15.75" customHeight="1"/>
    <row r="858" s="1" customFormat="1" ht="15.75" customHeight="1"/>
    <row r="859" s="1" customFormat="1" ht="15.75" customHeight="1"/>
    <row r="860" s="1" customFormat="1" ht="15.75" customHeight="1"/>
    <row r="861" s="1" customFormat="1" ht="15.75" customHeight="1"/>
    <row r="862" s="1" customFormat="1" ht="15.75" customHeight="1"/>
    <row r="863" s="1" customFormat="1" ht="15.75" customHeight="1"/>
    <row r="864" s="1" customFormat="1" ht="15.75" customHeight="1"/>
    <row r="865" s="1" customFormat="1" ht="15.75" customHeight="1"/>
    <row r="866" s="1" customFormat="1" ht="15.75" customHeight="1"/>
    <row r="867" s="1" customFormat="1" ht="15.75" customHeight="1"/>
    <row r="868" s="1" customFormat="1" ht="15.75" customHeight="1"/>
    <row r="869" s="1" customFormat="1" ht="15.75" customHeight="1"/>
    <row r="870" s="1" customFormat="1" ht="15.75" customHeight="1"/>
    <row r="871" s="1" customFormat="1" ht="15.75" customHeight="1"/>
    <row r="872" s="1" customFormat="1" ht="15.75" customHeight="1"/>
    <row r="873" s="1" customFormat="1" ht="15.75" customHeight="1"/>
    <row r="874" s="1" customFormat="1" ht="15.75" customHeight="1"/>
    <row r="875" s="1" customFormat="1" ht="15.75" customHeight="1"/>
    <row r="876" s="1" customFormat="1" ht="15.75" customHeight="1"/>
    <row r="877" s="1" customFormat="1" ht="15.75" customHeight="1"/>
    <row r="878" s="1" customFormat="1" ht="15.75" customHeight="1"/>
    <row r="879" s="1" customFormat="1" ht="15.75" customHeight="1"/>
    <row r="880" s="1" customFormat="1" ht="15.75" customHeight="1"/>
    <row r="881" s="1" customFormat="1" ht="15.75" customHeight="1"/>
    <row r="882" s="1" customFormat="1" ht="15.75" customHeight="1"/>
    <row r="883" s="1" customFormat="1" ht="15.75" customHeight="1"/>
    <row r="884" s="1" customFormat="1" ht="15.75" customHeight="1"/>
    <row r="885" s="1" customFormat="1" ht="15.75" customHeight="1"/>
    <row r="886" s="1" customFormat="1" ht="15.75" customHeight="1"/>
    <row r="887" s="1" customFormat="1" ht="15.75" customHeight="1"/>
    <row r="888" s="1" customFormat="1" ht="15.75" customHeight="1"/>
    <row r="889" s="1" customFormat="1" ht="15.75" customHeight="1"/>
    <row r="890" s="1" customFormat="1" ht="15.75" customHeight="1"/>
    <row r="891" s="1" customFormat="1" ht="15.75" customHeight="1"/>
    <row r="892" s="1" customFormat="1" ht="15.75" customHeight="1"/>
    <row r="893" s="1" customFormat="1" ht="15.75" customHeight="1"/>
    <row r="894" s="1" customFormat="1" ht="15.75" customHeight="1"/>
    <row r="895" s="1" customFormat="1" ht="15.75" customHeight="1"/>
    <row r="896" s="1" customFormat="1" ht="15.75" customHeight="1"/>
    <row r="897" s="1" customFormat="1" ht="15.75" customHeight="1"/>
    <row r="898" s="1" customFormat="1" ht="15.75" customHeight="1"/>
    <row r="899" s="1" customFormat="1" ht="15.75" customHeight="1"/>
    <row r="900" s="1" customFormat="1" ht="15.75" customHeight="1"/>
    <row r="901" s="1" customFormat="1" ht="15.75" customHeight="1"/>
    <row r="902" s="1" customFormat="1" ht="15.75" customHeight="1"/>
    <row r="903" s="1" customFormat="1" ht="15.75" customHeight="1"/>
    <row r="904" s="1" customFormat="1" ht="15.75" customHeight="1"/>
    <row r="905" s="1" customFormat="1" ht="15.75" customHeight="1"/>
    <row r="906" s="1" customFormat="1" ht="15.75" customHeight="1"/>
    <row r="907" s="1" customFormat="1" ht="15.75" customHeight="1"/>
    <row r="908" s="1" customFormat="1" ht="15.75" customHeight="1"/>
    <row r="909" s="1" customFormat="1" ht="15.75" customHeight="1"/>
    <row r="910" s="1" customFormat="1" ht="15.75" customHeight="1"/>
    <row r="911" s="1" customFormat="1" ht="15.75" customHeight="1"/>
    <row r="912" s="1" customFormat="1" ht="15.75" customHeight="1"/>
    <row r="913" s="1" customFormat="1" ht="15.75" customHeight="1"/>
    <row r="914" s="1" customFormat="1" ht="15.75" customHeight="1"/>
    <row r="915" s="1" customFormat="1" ht="15.75" customHeight="1"/>
    <row r="916" s="1" customFormat="1" ht="15.75" customHeight="1"/>
    <row r="917" s="1" customFormat="1" ht="15.75" customHeight="1"/>
    <row r="918" s="1" customFormat="1" ht="15.75" customHeight="1"/>
    <row r="919" s="1" customFormat="1" ht="15.75" customHeight="1"/>
    <row r="920" s="1" customFormat="1" ht="15.75" customHeight="1"/>
    <row r="921" s="1" customFormat="1" ht="15.75" customHeight="1"/>
    <row r="922" s="1" customFormat="1" ht="15.75" customHeight="1"/>
    <row r="923" s="1" customFormat="1" ht="15.75" customHeight="1"/>
    <row r="924" s="1" customFormat="1" ht="15.75" customHeight="1"/>
    <row r="925" s="1" customFormat="1" ht="15.75" customHeight="1"/>
    <row r="926" s="1" customFormat="1" ht="15.75" customHeight="1"/>
    <row r="927" s="1" customFormat="1" ht="15.75" customHeight="1"/>
    <row r="928" s="1" customFormat="1" ht="15.75" customHeight="1"/>
    <row r="929" s="1" customFormat="1" ht="15.75" customHeight="1"/>
    <row r="930" s="1" customFormat="1" ht="15.75" customHeight="1"/>
    <row r="931" s="1" customFormat="1" ht="15.75" customHeight="1"/>
    <row r="932" s="1" customFormat="1" ht="15.75" customHeight="1"/>
    <row r="933" s="1" customFormat="1" ht="15.75" customHeight="1"/>
    <row r="934" s="1" customFormat="1" ht="15.75" customHeight="1"/>
    <row r="935" s="1" customFormat="1" ht="15.75" customHeight="1"/>
    <row r="936" s="1" customFormat="1" ht="15.75" customHeight="1"/>
    <row r="937" s="1" customFormat="1" ht="15.75" customHeight="1"/>
    <row r="938" s="1" customFormat="1" ht="15.75" customHeight="1"/>
    <row r="939" s="1" customFormat="1" ht="15.75" customHeight="1"/>
    <row r="940" s="1" customFormat="1" ht="15.75" customHeight="1"/>
    <row r="941" s="1" customFormat="1" ht="15.75" customHeight="1"/>
    <row r="942" s="1" customFormat="1" ht="15.75" customHeight="1"/>
    <row r="943" s="1" customFormat="1" ht="15.75" customHeight="1"/>
    <row r="944" s="1" customFormat="1" ht="15.75" customHeight="1"/>
    <row r="945" s="1" customFormat="1" ht="15.75" customHeight="1"/>
    <row r="946" s="1" customFormat="1" ht="15.75" customHeight="1"/>
    <row r="947" s="1" customFormat="1" ht="15.75" customHeight="1"/>
    <row r="948" s="1" customFormat="1" ht="15.75" customHeight="1"/>
    <row r="949" s="1" customFormat="1" ht="15.75" customHeight="1"/>
    <row r="950" s="1" customFormat="1" ht="15.75" customHeight="1"/>
    <row r="951" s="1" customFormat="1" ht="15.75" customHeight="1"/>
    <row r="952" s="1" customFormat="1" ht="15.75" customHeight="1"/>
    <row r="953" s="1" customFormat="1" ht="15.75" customHeight="1"/>
    <row r="954" s="1" customFormat="1" ht="15.75" customHeight="1"/>
    <row r="955" s="1" customFormat="1" ht="15.75" customHeight="1"/>
    <row r="956" s="1" customFormat="1" ht="15.75" customHeight="1"/>
    <row r="957" s="1" customFormat="1" ht="15.75" customHeight="1"/>
    <row r="958" s="1" customFormat="1" ht="15.75" customHeight="1"/>
    <row r="959" s="1" customFormat="1" ht="15.75" customHeight="1"/>
    <row r="960" s="1" customFormat="1" ht="15.75" customHeight="1"/>
    <row r="961" s="1" customFormat="1" ht="15.75" customHeight="1"/>
    <row r="962" s="1" customFormat="1" ht="15.75" customHeight="1"/>
    <row r="963" s="1" customFormat="1" ht="15.75" customHeight="1"/>
    <row r="964" s="1" customFormat="1" ht="15.75" customHeight="1"/>
    <row r="965" s="1" customFormat="1" ht="15.75" customHeight="1"/>
    <row r="966" s="1" customFormat="1" ht="15.75" customHeight="1"/>
    <row r="967" s="1" customFormat="1" ht="15.75" customHeight="1"/>
    <row r="968" s="1" customFormat="1" ht="15.75" customHeight="1"/>
    <row r="969" s="1" customFormat="1" ht="15.75" customHeight="1"/>
    <row r="970" s="1" customFormat="1" ht="15.75" customHeight="1"/>
    <row r="971" s="1" customFormat="1" ht="15.75" customHeight="1"/>
    <row r="972" s="1" customFormat="1" ht="15.75" customHeight="1"/>
    <row r="973" s="1" customFormat="1" ht="15.75" customHeight="1"/>
    <row r="974" s="1" customFormat="1" ht="15.75" customHeight="1"/>
    <row r="975" s="1" customFormat="1" ht="15.75" customHeight="1"/>
    <row r="976" s="1" customFormat="1" ht="15.75" customHeight="1"/>
    <row r="977" s="1" customFormat="1" ht="15.75" customHeight="1"/>
    <row r="978" s="1" customFormat="1" ht="15.75" customHeight="1"/>
    <row r="979" s="1" customFormat="1" ht="15.75" customHeight="1"/>
    <row r="980" s="1" customFormat="1" ht="15.75" customHeight="1"/>
    <row r="981" s="1" customFormat="1" ht="15.75" customHeight="1"/>
    <row r="982" s="1" customFormat="1" ht="15.75" customHeight="1"/>
    <row r="983" s="1" customFormat="1" ht="15.75" customHeight="1"/>
  </sheetData>
  <mergeCells count="1">
    <mergeCell ref="A42:L42"/>
  </mergeCell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Assignment 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</dc:creator>
  <cp:lastModifiedBy>Famil</cp:lastModifiedBy>
  <dcterms:created xsi:type="dcterms:W3CDTF">2026-08-10T07:25:32Z</dcterms:created>
  <dcterms:modified xsi:type="dcterms:W3CDTF">2026-08-10T10:40:31Z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E919B5756AA44D2BA5AAE790D7EED71F_11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