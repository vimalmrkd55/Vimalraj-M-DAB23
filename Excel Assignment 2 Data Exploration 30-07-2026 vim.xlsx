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 activeTab="1"/>
  </bookViews>
  <sheets>
    <sheet name="Dataset" sheetId="1" r:id="rId1"/>
    <sheet name="Day-1 Assignment " sheetId="2" r:id="rId2"/>
    <sheet name="Day-2 Assign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<sst xmlns="http://schemas.openxmlformats.org/spreadsheetml/2006/main" count="538" uniqueCount="146">
  <si>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</si>
  <si>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</si>
  <si>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</si>
  <si>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</si>
  <si>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</si>
  <si>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</si>
  <si>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</si>
  <si>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</si>
  <si>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</si>
  <si>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</si>
  <si>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</si>
  <si>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</si>
  <si>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</si>
  <si>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</si>
  <si>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</si>
  <si>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</si>
  <si>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</si>
  <si>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</si>
  <si>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</si>
  <si>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</si>
  <si>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</si>
  <si>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</si>
  <si>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</si>
  <si>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</si>
  <si>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</si>
  <si>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</si>
  <si>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</si>
  <si>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</si>
  <si>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</si>
  <si>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</si>
  <si>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</si>
  <si>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</si>
  <si>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</si>
  <si>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</si>
  <si>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</si>
  <si>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</si>
  <si>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</si>
  <si>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</si>
  <si>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</si>
  <si>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</si>
  <si>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</si>
  <si>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</si>
  <si>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</si>
  <si>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</si>
  <si>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</si>
  <si>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</si>
  <si>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</si>
  <si>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</si>
  <si>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</si>
  <si>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</si>
  <si>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</si>
  <si>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</si>
  <si>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</si>
  <si>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</si>
  <si>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</si>
  <si>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</si>
  <si>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</si>
  <si>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</si>
  <si>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</si>
  <si>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</si>
  <si>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</si>
  <si>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</si>
  <si>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</si>
  <si>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</si>
  <si>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</si>
  <si>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</si>
  <si>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</si>
  <si>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</si>
  <si>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</si>
  <si>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</si>
  <si>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</si>
  <si>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</si>
  <si>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</si>
  <si>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</si>
  <si>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</si>
  <si>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</si>
  <si>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</si>
  <si>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</si>
  <si>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</si>
  <si>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</si>
  <si>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</si>
  <si>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</si>
  <si>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</si>
  <si>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</si>
  <si>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</si>
  <si>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</si>
  <si>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</si>
  <si>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</si>
  <si>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</si>
  <si>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</si>
  <si>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</si>
  <si>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</si>
  <si>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</si>
  <si>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Column1</t>
  </si>
  <si>
    <t>Day</t>
  </si>
  <si>
    <t>Month</t>
  </si>
  <si>
    <t>IF condition</t>
  </si>
  <si>
    <t>SUMIF</t>
  </si>
  <si>
    <t>COUNTIF</t>
  </si>
  <si>
    <t>TASK</t>
  </si>
  <si>
    <t>FORMULA</t>
  </si>
  <si>
    <t>ANSWER</t>
  </si>
  <si>
    <t>Total price of all products</t>
  </si>
  <si>
    <t>MAX(D2:D35)</t>
  </si>
  <si>
    <t>Average price of the products.</t>
  </si>
  <si>
    <t>AVERAGE(D2:D35)</t>
  </si>
  <si>
    <t>Minimum price</t>
  </si>
  <si>
    <t>MIN(D2:D35)</t>
  </si>
  <si>
    <t>Maximum price</t>
  </si>
  <si>
    <t>RIGHT- Product ID-Country Code</t>
  </si>
  <si>
    <t>RIGHT(A2,2)</t>
  </si>
  <si>
    <t>LEFT- Product ID-Day</t>
  </si>
  <si>
    <t>LEFT(A2,6)</t>
  </si>
  <si>
    <t>MID- Product ID-Month</t>
  </si>
  <si>
    <t>MID(A2,4,3)</t>
  </si>
  <si>
    <t>If function</t>
  </si>
  <si>
    <t>IF(D2&gt;=500,"High Price","Standard Price")</t>
  </si>
  <si>
    <t>SUMIF(F2:F35,F2,D2:D35)</t>
  </si>
  <si>
    <t>COUNTIF(D2:D35,"&gt;100")</t>
  </si>
  <si>
    <t>Manufacturing Date</t>
  </si>
  <si>
    <t>Product Brand</t>
  </si>
  <si>
    <t>Manufacturing Date2</t>
  </si>
  <si>
    <t>Country Code</t>
  </si>
  <si>
    <t>Product Name2</t>
  </si>
  <si>
    <t>Price($)</t>
  </si>
  <si>
    <t>=CONCAT([@[Product Name]], [@-], [@[Brand Name]])</t>
  </si>
  <si>
    <t xml:space="preserve">Observation </t>
  </si>
  <si>
    <t>1. Handling Missing Values:</t>
  </si>
  <si>
    <t>* If there are products with missing categories, propose a strategy to impute or deal with these missing values effectively.</t>
  </si>
  <si>
    <t>2. Correcting Inconsistent Data:</t>
  </si>
  <si>
    <t>* Identify any typos present in the "Category" column.</t>
  </si>
  <si>
    <t>* Use the find and replace function to standardize the text formats in the "Product</t>
  </si>
  <si>
    <t>Name" column and fix any typos or misspellings in the "Category" column.</t>
  </si>
  <si>
    <t>3. Splitting and Merging Data:</t>
  </si>
  <si>
    <t xml:space="preserve"> </t>
  </si>
  <si>
    <t>* Merge the "Brand Name" and "Product Name" columns into one column named</t>
  </si>
  <si>
    <t>Product Brand.</t>
  </si>
  <si>
    <t>4. Number Formatting:</t>
  </si>
  <si>
    <t>* Format the data type of the "Price" column to a currency format.</t>
  </si>
  <si>
    <t>* Format the "Manufacturing Date" column to display dates in the "DD-MM-YYYY "</t>
  </si>
  <si>
    <t>format.</t>
  </si>
  <si>
    <t>6. Conditional Formatting:</t>
  </si>
  <si>
    <t>* Apply data bar or color scales conditional formatting in the "Price" column.</t>
  </si>
  <si>
    <t>* Create a</t>
  </si>
  <si>
    <t>custom rule for conditional formatting in the "Category" column to highlight cells where</t>
  </si>
  <si>
    <t>the category is "Electronics."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</si>
</sst>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009]d\.m\.yy;@"/>
    <numFmt numFmtId="181" formatCode="&quot;₹&quot;\ #,##0"/>
  </numFmts>
  <fonts count="30">
    <font>
      <sz val="10"/>
      <color rgb="FF000000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  <scheme val="minor"/>
    </font>
    <font>
      <b/>
      <sz val="18"/>
      <color rgb="FFFF0000"/>
      <name val="Arial"/>
      <charset val="134"/>
      <scheme val="minor"/>
    </font>
    <font>
      <sz val="10"/>
      <color theme="8" tint="-0.499984740745262"/>
      <name val="Arial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theme="8" tint="0.399975585192419"/>
        <bgColor rgb="FF4DD0E1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3" applyNumberFormat="0" applyAlignment="0" applyProtection="0">
      <alignment vertical="center"/>
    </xf>
    <xf numFmtId="0" fontId="20" fillId="10" borderId="14" applyNumberFormat="0" applyAlignment="0" applyProtection="0">
      <alignment vertical="center"/>
    </xf>
    <xf numFmtId="0" fontId="21" fillId="10" borderId="13" applyNumberFormat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180" fontId="6" fillId="0" borderId="0" xfId="0" applyNumberFormat="1" applyFont="1"/>
    <xf numFmtId="49" fontId="0" fillId="0" borderId="0" xfId="0" applyNumberFormat="1"/>
    <xf numFmtId="0" fontId="0" fillId="0" borderId="5" xfId="0" applyBorder="1"/>
    <xf numFmtId="181" fontId="0" fillId="0" borderId="6" xfId="0" applyNumberFormat="1" applyBorder="1"/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5" fillId="5" borderId="4" xfId="0" applyFont="1" applyFill="1" applyBorder="1"/>
    <xf numFmtId="0" fontId="5" fillId="5" borderId="5" xfId="0" applyFont="1" applyFill="1" applyBorder="1"/>
    <xf numFmtId="180" fontId="5" fillId="5" borderId="5" xfId="0" applyNumberFormat="1" applyFont="1" applyFill="1" applyBorder="1"/>
    <xf numFmtId="1" fontId="2" fillId="0" borderId="6" xfId="0" applyNumberFormat="1" applyFont="1" applyBorder="1" applyAlignment="1">
      <alignment horizontal="right"/>
    </xf>
    <xf numFmtId="180" fontId="5" fillId="0" borderId="5" xfId="0" applyNumberFormat="1" applyFont="1" applyBorder="1"/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5" fillId="5" borderId="7" xfId="0" applyFont="1" applyFill="1" applyBorder="1"/>
    <xf numFmtId="0" fontId="5" fillId="5" borderId="8" xfId="0" applyFont="1" applyFill="1" applyBorder="1"/>
    <xf numFmtId="180" fontId="5" fillId="5" borderId="8" xfId="0" applyNumberFormat="1" applyFont="1" applyFill="1" applyBorder="1"/>
    <xf numFmtId="0" fontId="0" fillId="0" borderId="8" xfId="0" applyBorder="1"/>
    <xf numFmtId="0" fontId="7" fillId="0" borderId="0" xfId="0" applyFont="1" applyFill="1" applyAlignment="1">
      <alignment horizontal="center"/>
    </xf>
    <xf numFmtId="0" fontId="0" fillId="0" borderId="0" xfId="0" applyFill="1"/>
    <xf numFmtId="0" fontId="1" fillId="0" borderId="0" xfId="0" applyFont="1" applyFill="1"/>
    <xf numFmtId="0" fontId="6" fillId="0" borderId="0" xfId="0" applyFont="1" applyFill="1"/>
    <xf numFmtId="0" fontId="8" fillId="0" borderId="0" xfId="0" applyFont="1" applyFill="1" applyAlignment="1">
      <alignment horizontal="left" vertical="center" indent="2"/>
    </xf>
    <xf numFmtId="0" fontId="8" fillId="0" borderId="0" xfId="0" applyFont="1" applyFill="1"/>
    <xf numFmtId="0" fontId="2" fillId="0" borderId="0" xfId="0" applyFont="1" applyFill="1"/>
    <xf numFmtId="0" fontId="9" fillId="2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0" fillId="0" borderId="6" xfId="0" applyBorder="1"/>
    <xf numFmtId="0" fontId="5" fillId="7" borderId="5" xfId="0" applyFont="1" applyFill="1" applyBorder="1"/>
    <xf numFmtId="0" fontId="5" fillId="0" borderId="8" xfId="0" applyFont="1" applyBorder="1"/>
    <xf numFmtId="0" fontId="0" fillId="0" borderId="9" xfId="0" applyBorder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5" borderId="0" xfId="0" applyFont="1" applyFill="1"/>
    <xf numFmtId="0" fontId="5" fillId="7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1"/>
        <i val="0"/>
        <strike val="0"/>
        <u val="none"/>
        <sz val="10"/>
        <color rgb="FF000000"/>
      </font>
      <alignment horizontal="right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1"/>
        <i val="0"/>
        <strike val="0"/>
        <u val="none"/>
        <sz val="10"/>
        <color rgb="FF000000"/>
      </font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1"/>
        <i val="0"/>
        <strike val="0"/>
        <u val="none"/>
        <sz val="10"/>
        <color rgb="FF000000"/>
      </font>
      <alignment horizontal="righ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numFmt numFmtId="180" formatCode="[$-14009]d\.m\.yy;@"/>
      <fill>
        <patternFill patternType="solid">
          <fgColor rgb="FFE0F7FA"/>
          <bgColor rgb="FFE0F7F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theme="1"/>
      </font>
      <numFmt numFmtId="49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&quot;₹&quot;\ #,##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1"/>
        <i val="0"/>
        <strike val="0"/>
        <u val="none"/>
        <sz val="10"/>
        <color rgb="FF000000"/>
      </font>
      <alignment horizontal="right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1"/>
        <i val="0"/>
        <strike val="0"/>
        <u val="none"/>
        <sz val="10"/>
        <color rgb="FF000000"/>
      </font>
      <alignment horizontal="righ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family val="2"/>
        <b val="1"/>
        <i val="0"/>
        <strike val="0"/>
        <u val="none"/>
        <sz val="10"/>
        <color rgb="FF000000"/>
      </font>
      <alignment horizontal="righ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6</xdr:col>
      <xdr:colOff>480890</xdr:colOff>
      <xdr:row>46</xdr:row>
      <xdr:rowOff>53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670290"/>
          <a:ext cx="6044565" cy="31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4</xdr:col>
      <xdr:colOff>427300</xdr:colOff>
      <xdr:row>52</xdr:row>
      <xdr:rowOff>125775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9819640"/>
          <a:ext cx="4221480" cy="284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3</xdr:col>
      <xdr:colOff>543400</xdr:colOff>
      <xdr:row>63</xdr:row>
      <xdr:rowOff>154354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1730990"/>
          <a:ext cx="3453130" cy="3130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4</xdr:col>
      <xdr:colOff>65299</xdr:colOff>
      <xdr:row>68</xdr:row>
      <xdr:rowOff>22918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2365990"/>
          <a:ext cx="3859530" cy="3403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467189</xdr:colOff>
      <xdr:row>61</xdr:row>
      <xdr:rowOff>130866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11349990"/>
          <a:ext cx="3376930" cy="321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6</xdr:col>
      <xdr:colOff>661890</xdr:colOff>
      <xdr:row>77</xdr:row>
      <xdr:rowOff>51497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13820140"/>
          <a:ext cx="6225540" cy="36893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L35" totalsRowShown="0">
  <autoFilter xmlns:etc="http://www.wps.cn/officeDocument/2017/etCustomData" ref="A1:L35" etc:filterBottomFollowUsedRange="0"/>
  <tableColumns count="12">
    <tableColumn id="1" name="Product ID" dataDxfId="0"/>
    <tableColumn id="2" name="Product Name" dataDxfId="1"/>
    <tableColumn id="3" name="Brand Name" dataDxfId="2"/>
    <tableColumn id="4" name="Price ($)" dataDxfId="3"/>
    <tableColumn id="5" name="Quantity" dataDxfId="4"/>
    <tableColumn id="6" name="Category" dataDxfId="5"/>
    <tableColumn id="14" name="Column1" dataDxfId="6">
      <calculatedColumnFormula>RIGHT(A2,2)</calculatedColumnFormula>
    </tableColumn>
    <tableColumn id="7" name="Day" dataDxfId="7">
      <calculatedColumnFormula>LEFT(A2,6)</calculatedColumnFormula>
    </tableColumn>
    <tableColumn id="9" name="Month" dataDxfId="8">
      <calculatedColumnFormula>MID(A2,4,3)</calculatedColumnFormula>
    </tableColumn>
    <tableColumn id="11" name="IF condition" dataDxfId="9">
      <calculatedColumnFormula>IF(D2&gt;=500,"High Price","Standard Price")</calculatedColumnFormula>
    </tableColumn>
    <tableColumn id="12" name="SUMIF" dataDxfId="10">
      <calculatedColumnFormula>SUMIF($F$2:$F$35,F2,$D$2:$D$35)</calculatedColumnFormula>
    </tableColumn>
    <tableColumn id="13" name="COUNTIF" dataDxfId="11">
      <calculatedColumnFormula>COUNTIF(D2:D34,"&lt;100")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P1:R11" totalsRowShown="0">
  <autoFilter xmlns:etc="http://www.wps.cn/officeDocument/2017/etCustomData" ref="P1:R11" etc:filterBottomFollowUsedRange="0"/>
  <tableColumns count="3">
    <tableColumn id="1" name="TASK" dataDxfId="12"/>
    <tableColumn id="2" name="FORMULA" dataDxfId="13"/>
    <tableColumn id="3" name="ANSWER" dataDxfId="14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L35" totalsRowShown="0">
  <autoFilter xmlns:etc="http://www.wps.cn/officeDocument/2017/etCustomData" ref="A1:L35" etc:filterBottomFollowUsedRange="0"/>
  <tableColumns count="12">
    <tableColumn id="1" name="Product ID" dataDxfId="15"/>
    <tableColumn id="2" name="Product Name" dataDxfId="16"/>
    <tableColumn id="3" name="Brand Name" dataDxfId="17"/>
    <tableColumn id="4" name="Price ($)" dataDxfId="18"/>
    <tableColumn id="5" name="Quantity" dataDxfId="19"/>
    <tableColumn id="6" name="Category" dataDxfId="20"/>
    <tableColumn id="14" name="Manufacturing Date" dataDxfId="21">
      <calculatedColumnFormula>TEXT(DATEVALUE(LEFT(A2,7)&amp;"2026"),"dd-mm-yyyy")</calculatedColumnFormula>
    </tableColumn>
    <tableColumn id="7" name="Product Brand" dataDxfId="22">
      <calculatedColumnFormula>_xlfn.CONCAT(#REF!," ",#REF!)</calculatedColumnFormula>
    </tableColumn>
    <tableColumn id="9" name="Manufacturing Date2" dataDxfId="23">
      <calculatedColumnFormula>LEFT(A2,6)</calculatedColumnFormula>
    </tableColumn>
    <tableColumn id="11" name="Country Code" dataDxfId="24">
      <calculatedColumnFormula>RIGHT(A2,2)</calculatedColumnFormula>
    </tableColumn>
    <tableColumn id="12" name="Product Name2" dataDxfId="25">
      <calculatedColumnFormula>PROPER(CLEAN(TRIM(B2)))</calculatedColumnFormula>
    </tableColumn>
    <tableColumn id="13" name="Price($)" dataDxfId="26">
      <calculatedColumnFormula>IF(D2="",AVERAGEIF($F$2:$F$32,F2,$D$2:$D$32),D2)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25" displayName="Table25" ref="P1:R11" totalsRowShown="0">
  <autoFilter xmlns:etc="http://www.wps.cn/officeDocument/2017/etCustomData" ref="P1:R11" etc:filterBottomFollowUsedRange="0"/>
  <tableColumns count="3">
    <tableColumn id="1" name="TASK" dataDxfId="27"/>
    <tableColumn id="2" name="FORMULA" dataDxfId="28"/>
    <tableColumn id="3" name="ANSWER" dataDxfId="29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A1" sqref="A1"/>
    </sheetView>
  </sheetViews>
  <sheetFormatPr defaultColWidth="12.6636363636364" defaultRowHeight="15" customHeight="1" outlineLevelCol="6"/>
  <cols>
    <col min="2" max="2" width="14.1090909090909" customWidth="1"/>
  </cols>
  <sheetData>
    <row r="1" ht="15.75" customHeight="1" spans="1:7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6"/>
    </row>
    <row r="2" ht="15.75" customHeight="1" spans="1:7">
      <c r="A2" s="47" t="s">
        <v>6</v>
      </c>
      <c r="B2" s="47" t="s">
        <v>7</v>
      </c>
      <c r="C2" s="47" t="s">
        <v>8</v>
      </c>
      <c r="D2" s="47">
        <v>1000</v>
      </c>
      <c r="E2" s="47">
        <v>30</v>
      </c>
      <c r="F2" s="47" t="s">
        <v>9</v>
      </c>
      <c r="G2" s="47"/>
    </row>
    <row r="3" ht="15.75" customHeight="1" spans="1:7">
      <c r="A3" s="48" t="s">
        <v>10</v>
      </c>
      <c r="B3" s="48" t="s">
        <v>11</v>
      </c>
      <c r="C3" s="48" t="s">
        <v>12</v>
      </c>
      <c r="D3" s="48">
        <v>80</v>
      </c>
      <c r="E3" s="48">
        <v>15</v>
      </c>
      <c r="F3" s="48" t="s">
        <v>13</v>
      </c>
      <c r="G3" s="47"/>
    </row>
    <row r="4" ht="15.75" customHeight="1" spans="1:7">
      <c r="A4" s="47" t="s">
        <v>14</v>
      </c>
      <c r="B4" s="47" t="s">
        <v>15</v>
      </c>
      <c r="C4" s="47" t="s">
        <v>16</v>
      </c>
      <c r="D4" s="47">
        <v>130</v>
      </c>
      <c r="E4" s="47">
        <v>40</v>
      </c>
      <c r="F4" s="47" t="s">
        <v>17</v>
      </c>
      <c r="G4" s="47"/>
    </row>
    <row r="5" ht="15.75" customHeight="1" spans="1:7">
      <c r="A5" s="48" t="s">
        <v>18</v>
      </c>
      <c r="B5" s="48" t="s">
        <v>19</v>
      </c>
      <c r="C5" s="48" t="s">
        <v>20</v>
      </c>
      <c r="D5" s="48">
        <v>900</v>
      </c>
      <c r="E5" s="48">
        <v>25</v>
      </c>
      <c r="F5" s="48" t="s">
        <v>9</v>
      </c>
      <c r="G5" s="47"/>
    </row>
    <row r="6" ht="15.75" customHeight="1" spans="1:7">
      <c r="A6" s="47" t="s">
        <v>21</v>
      </c>
      <c r="B6" s="47" t="s">
        <v>22</v>
      </c>
      <c r="C6" s="47" t="s">
        <v>23</v>
      </c>
      <c r="D6" s="47">
        <v>70</v>
      </c>
      <c r="E6" s="47">
        <v>20</v>
      </c>
      <c r="F6" s="47" t="s">
        <v>24</v>
      </c>
      <c r="G6" s="47"/>
    </row>
    <row r="7" ht="15.75" customHeight="1" spans="1:7">
      <c r="A7" s="48" t="s">
        <v>25</v>
      </c>
      <c r="B7" s="48" t="s">
        <v>26</v>
      </c>
      <c r="C7" s="48" t="s">
        <v>27</v>
      </c>
      <c r="D7" s="48">
        <v>200</v>
      </c>
      <c r="E7" s="48">
        <v>45</v>
      </c>
      <c r="F7" s="48" t="s">
        <v>9</v>
      </c>
      <c r="G7" s="47"/>
    </row>
    <row r="8" ht="15.75" customHeight="1" spans="1:7">
      <c r="A8" s="47" t="s">
        <v>28</v>
      </c>
      <c r="B8" s="47" t="s">
        <v>29</v>
      </c>
      <c r="C8" s="47" t="s">
        <v>30</v>
      </c>
      <c r="D8" s="47">
        <v>30</v>
      </c>
      <c r="E8" s="47">
        <v>5</v>
      </c>
      <c r="F8" s="47" t="s">
        <v>13</v>
      </c>
      <c r="G8" s="47"/>
    </row>
    <row r="9" ht="15.75" customHeight="1" spans="1:7">
      <c r="A9" s="48" t="s">
        <v>31</v>
      </c>
      <c r="B9" s="48" t="s">
        <v>32</v>
      </c>
      <c r="C9" s="48" t="s">
        <v>33</v>
      </c>
      <c r="D9" s="48">
        <v>90</v>
      </c>
      <c r="E9" s="48">
        <v>35</v>
      </c>
      <c r="F9" s="48" t="s">
        <v>17</v>
      </c>
      <c r="G9" s="47"/>
    </row>
    <row r="10" ht="15.75" customHeight="1" spans="1:7">
      <c r="A10" s="47" t="s">
        <v>34</v>
      </c>
      <c r="B10" s="47" t="s">
        <v>35</v>
      </c>
      <c r="C10" s="47" t="s">
        <v>36</v>
      </c>
      <c r="D10" s="47">
        <v>500</v>
      </c>
      <c r="E10" s="47">
        <v>50</v>
      </c>
      <c r="F10" s="47" t="s">
        <v>9</v>
      </c>
      <c r="G10" s="47"/>
    </row>
    <row r="11" ht="15.75" customHeight="1" spans="1:7">
      <c r="A11" s="48" t="s">
        <v>37</v>
      </c>
      <c r="B11" s="48" t="s">
        <v>38</v>
      </c>
      <c r="C11" s="48" t="s">
        <v>39</v>
      </c>
      <c r="D11" s="48">
        <v>130</v>
      </c>
      <c r="E11" s="48">
        <v>10</v>
      </c>
      <c r="F11" s="48" t="s">
        <v>24</v>
      </c>
      <c r="G11" s="47"/>
    </row>
    <row r="12" ht="15.75" customHeight="1" spans="1:7">
      <c r="A12" s="47" t="s">
        <v>40</v>
      </c>
      <c r="B12" s="47" t="s">
        <v>7</v>
      </c>
      <c r="C12" s="47" t="s">
        <v>41</v>
      </c>
      <c r="D12" s="47">
        <v>950</v>
      </c>
      <c r="E12" s="47">
        <v>25</v>
      </c>
      <c r="F12" s="47" t="s">
        <v>9</v>
      </c>
      <c r="G12" s="47"/>
    </row>
    <row r="13" ht="15.75" customHeight="1" spans="1:7">
      <c r="A13" s="48" t="s">
        <v>42</v>
      </c>
      <c r="B13" s="48" t="s">
        <v>11</v>
      </c>
      <c r="C13" s="48" t="s">
        <v>30</v>
      </c>
      <c r="D13" s="48">
        <v>90</v>
      </c>
      <c r="E13" s="48">
        <v>40</v>
      </c>
      <c r="F13" s="48" t="s">
        <v>13</v>
      </c>
      <c r="G13" s="47"/>
    </row>
    <row r="14" ht="15.75" customHeight="1" spans="1:7">
      <c r="A14" s="47" t="s">
        <v>43</v>
      </c>
      <c r="B14" s="47" t="s">
        <v>15</v>
      </c>
      <c r="C14" s="47" t="s">
        <v>44</v>
      </c>
      <c r="D14" s="47">
        <v>120</v>
      </c>
      <c r="E14" s="47">
        <v>35</v>
      </c>
      <c r="F14" s="47" t="s">
        <v>17</v>
      </c>
      <c r="G14" s="47"/>
    </row>
    <row r="15" ht="15.75" customHeight="1" spans="1:7">
      <c r="A15" s="48" t="s">
        <v>45</v>
      </c>
      <c r="B15" s="48" t="s">
        <v>46</v>
      </c>
      <c r="C15" s="48" t="s">
        <v>47</v>
      </c>
      <c r="D15" s="48">
        <v>150</v>
      </c>
      <c r="E15" s="48">
        <v>15</v>
      </c>
      <c r="F15" s="48" t="s">
        <v>9</v>
      </c>
      <c r="G15" s="47"/>
    </row>
    <row r="16" ht="15.75" customHeight="1" spans="1:7">
      <c r="A16" s="47" t="s">
        <v>48</v>
      </c>
      <c r="B16" s="47" t="s">
        <v>26</v>
      </c>
      <c r="C16" s="47" t="s">
        <v>49</v>
      </c>
      <c r="D16" s="47">
        <v>250</v>
      </c>
      <c r="E16" s="47">
        <v>20</v>
      </c>
      <c r="F16" s="47" t="s">
        <v>9</v>
      </c>
      <c r="G16" s="47"/>
    </row>
    <row r="17" ht="15.75" customHeight="1" spans="1:7">
      <c r="A17" s="48" t="s">
        <v>50</v>
      </c>
      <c r="B17" s="48" t="s">
        <v>51</v>
      </c>
      <c r="C17" s="48" t="s">
        <v>52</v>
      </c>
      <c r="D17" s="48">
        <v>50</v>
      </c>
      <c r="E17" s="48">
        <v>35</v>
      </c>
      <c r="F17" s="48" t="s">
        <v>53</v>
      </c>
      <c r="G17" s="47"/>
    </row>
    <row r="18" ht="15.75" customHeight="1" spans="1:7">
      <c r="A18" s="47" t="s">
        <v>54</v>
      </c>
      <c r="B18" s="47" t="s">
        <v>46</v>
      </c>
      <c r="C18" s="47" t="s">
        <v>55</v>
      </c>
      <c r="D18" s="47">
        <v>160</v>
      </c>
      <c r="E18" s="47">
        <v>15</v>
      </c>
      <c r="F18" s="47" t="s">
        <v>9</v>
      </c>
      <c r="G18" s="47"/>
    </row>
    <row r="19" ht="15.75" customHeight="1" spans="1:7">
      <c r="A19" s="48" t="s">
        <v>56</v>
      </c>
      <c r="B19" s="48" t="s">
        <v>7</v>
      </c>
      <c r="C19" s="48" t="s">
        <v>57</v>
      </c>
      <c r="D19" s="48">
        <v>980</v>
      </c>
      <c r="E19" s="48">
        <v>10</v>
      </c>
      <c r="F19" s="48" t="s">
        <v>9</v>
      </c>
      <c r="G19" s="47"/>
    </row>
    <row r="20" ht="15.75" customHeight="1" spans="1:7">
      <c r="A20" s="47" t="s">
        <v>58</v>
      </c>
      <c r="B20" s="47" t="s">
        <v>59</v>
      </c>
      <c r="C20" s="47" t="s">
        <v>60</v>
      </c>
      <c r="D20" s="47">
        <v>150</v>
      </c>
      <c r="E20" s="47">
        <v>15</v>
      </c>
      <c r="F20" s="47" t="s">
        <v>13</v>
      </c>
      <c r="G20" s="47"/>
    </row>
    <row r="21" ht="15.75" customHeight="1" spans="1:7">
      <c r="A21" s="48" t="s">
        <v>61</v>
      </c>
      <c r="B21" s="48" t="s">
        <v>62</v>
      </c>
      <c r="C21" s="48" t="s">
        <v>63</v>
      </c>
      <c r="D21" s="48">
        <v>200</v>
      </c>
      <c r="E21" s="48">
        <v>10</v>
      </c>
      <c r="F21" s="48" t="s">
        <v>24</v>
      </c>
      <c r="G21" s="47"/>
    </row>
    <row r="22" ht="15.75" customHeight="1" spans="1:7">
      <c r="A22" s="47" t="s">
        <v>64</v>
      </c>
      <c r="B22" s="47" t="s">
        <v>65</v>
      </c>
      <c r="C22" s="47" t="s">
        <v>66</v>
      </c>
      <c r="D22" s="47">
        <v>700</v>
      </c>
      <c r="E22" s="47">
        <v>50</v>
      </c>
      <c r="F22" s="47" t="s">
        <v>9</v>
      </c>
      <c r="G22" s="47"/>
    </row>
    <row r="23" ht="15.75" customHeight="1" spans="1:7">
      <c r="A23" s="48" t="s">
        <v>67</v>
      </c>
      <c r="B23" s="48" t="s">
        <v>68</v>
      </c>
      <c r="C23" s="48" t="s">
        <v>69</v>
      </c>
      <c r="D23" s="48">
        <v>80</v>
      </c>
      <c r="E23" s="48">
        <v>20</v>
      </c>
      <c r="F23" s="48" t="s">
        <v>17</v>
      </c>
      <c r="G23" s="47"/>
    </row>
    <row r="24" ht="15.75" customHeight="1" spans="1:7">
      <c r="A24" s="47" t="s">
        <v>70</v>
      </c>
      <c r="B24" s="47" t="s">
        <v>71</v>
      </c>
      <c r="C24" s="47" t="s">
        <v>72</v>
      </c>
      <c r="D24" s="47">
        <v>150</v>
      </c>
      <c r="E24" s="47">
        <v>30</v>
      </c>
      <c r="F24" s="47" t="s">
        <v>9</v>
      </c>
      <c r="G24" s="47"/>
    </row>
    <row r="25" ht="15.75" customHeight="1" spans="1:7">
      <c r="A25" s="48" t="s">
        <v>50</v>
      </c>
      <c r="B25" s="48" t="s">
        <v>51</v>
      </c>
      <c r="C25" s="48" t="s">
        <v>52</v>
      </c>
      <c r="D25" s="48">
        <v>50</v>
      </c>
      <c r="E25" s="48">
        <v>35</v>
      </c>
      <c r="F25" s="48" t="s">
        <v>53</v>
      </c>
      <c r="G25" s="49"/>
    </row>
    <row r="26" ht="15.75" customHeight="1" spans="1:7">
      <c r="A26" s="47" t="s">
        <v>73</v>
      </c>
      <c r="B26" s="47" t="s">
        <v>19</v>
      </c>
      <c r="C26" s="47" t="s">
        <v>74</v>
      </c>
      <c r="D26" s="47">
        <v>800</v>
      </c>
      <c r="E26" s="47">
        <v>45</v>
      </c>
      <c r="F26" s="47" t="s">
        <v>9</v>
      </c>
      <c r="G26" s="47"/>
    </row>
    <row r="27" ht="15.75" customHeight="1" spans="1:7">
      <c r="A27" s="48" t="s">
        <v>75</v>
      </c>
      <c r="B27" s="48" t="s">
        <v>59</v>
      </c>
      <c r="C27" s="48" t="s">
        <v>76</v>
      </c>
      <c r="D27" s="48">
        <v>130</v>
      </c>
      <c r="E27" s="48">
        <v>25</v>
      </c>
      <c r="F27" s="48" t="s">
        <v>13</v>
      </c>
      <c r="G27" s="47"/>
    </row>
    <row r="28" ht="15.75" customHeight="1" spans="1:7">
      <c r="A28" s="47" t="s">
        <v>77</v>
      </c>
      <c r="B28" s="47" t="s">
        <v>32</v>
      </c>
      <c r="C28" s="47" t="s">
        <v>78</v>
      </c>
      <c r="D28" s="47">
        <v>400</v>
      </c>
      <c r="E28" s="47">
        <v>40</v>
      </c>
      <c r="F28" s="47" t="s">
        <v>17</v>
      </c>
      <c r="G28" s="47"/>
    </row>
    <row r="29" ht="15.75" customHeight="1" spans="1:7">
      <c r="A29" s="48" t="s">
        <v>48</v>
      </c>
      <c r="B29" s="48" t="s">
        <v>26</v>
      </c>
      <c r="C29" s="48" t="s">
        <v>49</v>
      </c>
      <c r="D29" s="48">
        <v>230</v>
      </c>
      <c r="E29" s="48">
        <v>20</v>
      </c>
      <c r="F29" s="48" t="s">
        <v>9</v>
      </c>
      <c r="G29" s="49"/>
    </row>
    <row r="30" ht="15.75" customHeight="1" spans="1:7">
      <c r="A30" s="47" t="s">
        <v>79</v>
      </c>
      <c r="B30" s="47" t="s">
        <v>80</v>
      </c>
      <c r="C30" s="47" t="s">
        <v>81</v>
      </c>
      <c r="D30" s="47">
        <v>60</v>
      </c>
      <c r="E30" s="47">
        <v>30</v>
      </c>
      <c r="F30" s="47" t="s">
        <v>13</v>
      </c>
      <c r="G30" s="47"/>
    </row>
    <row r="31" ht="15.75" customHeight="1" spans="1:7">
      <c r="A31" s="48" t="s">
        <v>82</v>
      </c>
      <c r="B31" s="48" t="s">
        <v>83</v>
      </c>
      <c r="C31" s="48" t="s">
        <v>84</v>
      </c>
      <c r="D31" s="48">
        <v>40</v>
      </c>
      <c r="E31" s="48">
        <v>10</v>
      </c>
      <c r="F31" s="48" t="s">
        <v>17</v>
      </c>
      <c r="G31" s="47"/>
    </row>
    <row r="32" ht="15.75" customHeight="1" spans="1:7">
      <c r="A32" s="47" t="s">
        <v>85</v>
      </c>
      <c r="B32" s="47" t="s">
        <v>71</v>
      </c>
      <c r="C32" s="47" t="s">
        <v>86</v>
      </c>
      <c r="D32" s="47">
        <v>130</v>
      </c>
      <c r="E32" s="47">
        <v>5</v>
      </c>
      <c r="F32" s="47" t="s">
        <v>9</v>
      </c>
      <c r="G32" s="47"/>
    </row>
    <row r="33" ht="15.75" customHeight="1" spans="1:7">
      <c r="A33" s="48" t="s">
        <v>87</v>
      </c>
      <c r="B33" s="48" t="s">
        <v>88</v>
      </c>
      <c r="C33" s="48" t="s">
        <v>89</v>
      </c>
      <c r="D33" s="48">
        <v>50</v>
      </c>
      <c r="E33" s="48">
        <v>50</v>
      </c>
      <c r="F33" s="48" t="s">
        <v>13</v>
      </c>
      <c r="G33" s="47"/>
    </row>
    <row r="34" ht="15.75" customHeight="1" spans="1:7">
      <c r="A34" s="47" t="s">
        <v>40</v>
      </c>
      <c r="B34" s="47" t="s">
        <v>7</v>
      </c>
      <c r="C34" s="47" t="s">
        <v>41</v>
      </c>
      <c r="D34" s="47">
        <v>950</v>
      </c>
      <c r="E34" s="47">
        <v>25</v>
      </c>
      <c r="F34" s="47" t="s">
        <v>9</v>
      </c>
      <c r="G34" s="47"/>
    </row>
    <row r="35" ht="15.75" customHeight="1" spans="1:7">
      <c r="A35" s="48" t="s">
        <v>90</v>
      </c>
      <c r="B35" s="48" t="s">
        <v>91</v>
      </c>
      <c r="C35" s="48" t="s">
        <v>92</v>
      </c>
      <c r="D35" s="48">
        <v>100</v>
      </c>
      <c r="E35" s="48">
        <v>20</v>
      </c>
      <c r="F35" s="48" t="s">
        <v>53</v>
      </c>
      <c r="G35" s="47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999"/>
  <sheetViews>
    <sheetView tabSelected="1" workbookViewId="0">
      <pane ySplit="1" topLeftCell="A2" activePane="bottomLeft" state="frozen"/>
      <selection/>
      <selection pane="bottomLeft" activeCell="J6" sqref="J6"/>
    </sheetView>
  </sheetViews>
  <sheetFormatPr defaultColWidth="12.6636363636364" defaultRowHeight="15" customHeight="1"/>
  <cols>
    <col min="2" max="2" width="15.3363636363636" customWidth="1"/>
    <col min="3" max="3" width="13.6636363636364" customWidth="1"/>
    <col min="10" max="10" width="14.2181818181818" customWidth="1"/>
    <col min="16" max="16" width="45.5545454545455" customWidth="1"/>
    <col min="17" max="17" width="38.8909090909091" customWidth="1"/>
  </cols>
  <sheetData>
    <row r="1" ht="15.75" customHeight="1" spans="1:1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93</v>
      </c>
      <c r="H1" s="38" t="s">
        <v>94</v>
      </c>
      <c r="I1" s="38" t="s">
        <v>95</v>
      </c>
      <c r="J1" s="39" t="s">
        <v>96</v>
      </c>
      <c r="K1" s="39" t="s">
        <v>97</v>
      </c>
      <c r="L1" s="40" t="s">
        <v>98</v>
      </c>
      <c r="P1" s="7" t="s">
        <v>99</v>
      </c>
      <c r="Q1" s="8" t="s">
        <v>100</v>
      </c>
      <c r="R1" s="9" t="s">
        <v>101</v>
      </c>
    </row>
    <row r="2" ht="13" spans="1:18">
      <c r="A2" s="10" t="s">
        <v>6</v>
      </c>
      <c r="B2" s="11" t="s">
        <v>7</v>
      </c>
      <c r="C2" s="11" t="s">
        <v>8</v>
      </c>
      <c r="D2" s="11">
        <v>1000</v>
      </c>
      <c r="E2" s="11">
        <v>30</v>
      </c>
      <c r="F2" s="11" t="s">
        <v>9</v>
      </c>
      <c r="G2" s="11" t="str">
        <f t="shared" ref="G2:G35" si="0">RIGHT(A2,2)</f>
        <v>US</v>
      </c>
      <c r="H2" s="11" t="str">
        <f t="shared" ref="H2:H35" si="1">LEFT(A2,6)</f>
        <v>28-JAN</v>
      </c>
      <c r="I2" s="11" t="str">
        <f t="shared" ref="I2:I35" si="2">MID(A2,4,3)</f>
        <v>JAN</v>
      </c>
      <c r="J2" s="14" t="str">
        <f t="shared" ref="J2:J35" si="3">IF(D2&gt;=500,"High Price","Standard Price")</f>
        <v>High Price</v>
      </c>
      <c r="K2" s="14">
        <f t="shared" ref="K2:K35" si="4">SUMIF($F$2:$F$35,F2,$D$2:$D$35)</f>
        <v>8050</v>
      </c>
      <c r="L2" s="14">
        <f>COUNTIF(D2:D34,"&lt;100")</f>
        <v>11</v>
      </c>
      <c r="P2" s="16" t="s">
        <v>102</v>
      </c>
      <c r="Q2" s="17" t="s">
        <v>103</v>
      </c>
      <c r="R2" s="18">
        <f>SUM(D2:D35)</f>
        <v>10100</v>
      </c>
    </row>
    <row r="3" ht="13" spans="1:18">
      <c r="A3" s="19" t="s">
        <v>10</v>
      </c>
      <c r="B3" s="20" t="s">
        <v>11</v>
      </c>
      <c r="C3" s="20" t="s">
        <v>12</v>
      </c>
      <c r="D3" s="20">
        <v>80</v>
      </c>
      <c r="E3" s="20">
        <v>15</v>
      </c>
      <c r="F3" s="20" t="s">
        <v>13</v>
      </c>
      <c r="G3" s="20" t="str">
        <f t="shared" si="0"/>
        <v>US</v>
      </c>
      <c r="H3" s="11" t="str">
        <f t="shared" si="1"/>
        <v>15-FEB</v>
      </c>
      <c r="I3" s="14" t="str">
        <f t="shared" si="2"/>
        <v>FEB</v>
      </c>
      <c r="J3" s="14" t="str">
        <f t="shared" si="3"/>
        <v>Standard Price</v>
      </c>
      <c r="K3" s="14">
        <f t="shared" si="4"/>
        <v>590</v>
      </c>
      <c r="L3" s="41">
        <f t="shared" ref="L3" si="5">COUNTIF(D3:D35,"&lt;100")</f>
        <v>11</v>
      </c>
      <c r="P3" s="16" t="s">
        <v>104</v>
      </c>
      <c r="Q3" s="17" t="s">
        <v>105</v>
      </c>
      <c r="R3" s="22">
        <f>AVERAGE(D2:D35)</f>
        <v>297.058823529412</v>
      </c>
    </row>
    <row r="4" ht="13" spans="1:18">
      <c r="A4" s="10" t="s">
        <v>14</v>
      </c>
      <c r="B4" s="11" t="s">
        <v>15</v>
      </c>
      <c r="C4" s="11" t="s">
        <v>16</v>
      </c>
      <c r="D4" s="11">
        <v>130</v>
      </c>
      <c r="E4" s="11">
        <v>40</v>
      </c>
      <c r="F4" s="11" t="s">
        <v>17</v>
      </c>
      <c r="G4" s="11" t="str">
        <f t="shared" si="0"/>
        <v>US</v>
      </c>
      <c r="H4" s="11" t="str">
        <f t="shared" si="1"/>
        <v>03-MAR</v>
      </c>
      <c r="I4" s="14" t="str">
        <f t="shared" si="2"/>
        <v>MAR</v>
      </c>
      <c r="J4" s="14" t="str">
        <f t="shared" si="3"/>
        <v>Standard Price</v>
      </c>
      <c r="K4" s="14">
        <f t="shared" si="4"/>
        <v>860</v>
      </c>
      <c r="L4" s="41">
        <f t="shared" ref="L4:L35" si="6">COUNTIF(D4:D35,"&lt;100")</f>
        <v>10</v>
      </c>
      <c r="P4" s="16" t="s">
        <v>106</v>
      </c>
      <c r="Q4" s="17" t="s">
        <v>107</v>
      </c>
      <c r="R4" s="18">
        <f>MIN(D2:D35)</f>
        <v>30</v>
      </c>
    </row>
    <row r="5" ht="13" spans="1:18">
      <c r="A5" s="19" t="s">
        <v>18</v>
      </c>
      <c r="B5" s="20" t="s">
        <v>19</v>
      </c>
      <c r="C5" s="20" t="s">
        <v>20</v>
      </c>
      <c r="D5" s="20">
        <v>900</v>
      </c>
      <c r="E5" s="20">
        <v>25</v>
      </c>
      <c r="F5" s="20" t="s">
        <v>9</v>
      </c>
      <c r="G5" s="20" t="str">
        <f t="shared" si="0"/>
        <v>US</v>
      </c>
      <c r="H5" s="11" t="str">
        <f t="shared" si="1"/>
        <v>11-APR</v>
      </c>
      <c r="I5" s="14" t="str">
        <f t="shared" si="2"/>
        <v>APR</v>
      </c>
      <c r="J5" s="14" t="str">
        <f t="shared" si="3"/>
        <v>High Price</v>
      </c>
      <c r="K5" s="14">
        <f t="shared" si="4"/>
        <v>8050</v>
      </c>
      <c r="L5" s="41">
        <f t="shared" si="6"/>
        <v>10</v>
      </c>
      <c r="P5" s="16" t="s">
        <v>108</v>
      </c>
      <c r="Q5" s="17" t="s">
        <v>103</v>
      </c>
      <c r="R5" s="18">
        <f>MAX(D2:D35)</f>
        <v>1000</v>
      </c>
    </row>
    <row r="6" ht="15.75" customHeight="1" spans="1:18">
      <c r="A6" s="10" t="s">
        <v>21</v>
      </c>
      <c r="B6" s="11" t="s">
        <v>22</v>
      </c>
      <c r="C6" s="11" t="s">
        <v>23</v>
      </c>
      <c r="D6" s="11">
        <v>70</v>
      </c>
      <c r="E6" s="11">
        <v>20</v>
      </c>
      <c r="F6" s="11" t="s">
        <v>24</v>
      </c>
      <c r="G6" s="11" t="str">
        <f t="shared" si="0"/>
        <v>US</v>
      </c>
      <c r="H6" s="11" t="str">
        <f t="shared" si="1"/>
        <v>22-MAY</v>
      </c>
      <c r="I6" s="14" t="str">
        <f t="shared" si="2"/>
        <v>MAY</v>
      </c>
      <c r="J6" s="14" t="str">
        <f t="shared" si="3"/>
        <v>Standard Price</v>
      </c>
      <c r="K6" s="14">
        <f t="shared" si="4"/>
        <v>400</v>
      </c>
      <c r="L6" s="41">
        <f t="shared" si="6"/>
        <v>10</v>
      </c>
      <c r="P6" s="16" t="s">
        <v>109</v>
      </c>
      <c r="Q6" s="17" t="s">
        <v>110</v>
      </c>
      <c r="R6" s="18" t="str">
        <f>RIGHT(A2,2)</f>
        <v>US</v>
      </c>
    </row>
    <row r="7" ht="15.75" customHeight="1" spans="1:18">
      <c r="A7" s="19" t="s">
        <v>25</v>
      </c>
      <c r="B7" s="20" t="s">
        <v>26</v>
      </c>
      <c r="C7" s="20" t="s">
        <v>27</v>
      </c>
      <c r="D7" s="20">
        <v>200</v>
      </c>
      <c r="E7" s="20">
        <v>45</v>
      </c>
      <c r="F7" s="20" t="s">
        <v>9</v>
      </c>
      <c r="G7" s="20" t="str">
        <f t="shared" si="0"/>
        <v>UK</v>
      </c>
      <c r="H7" s="11" t="str">
        <f t="shared" si="1"/>
        <v>07-JUN</v>
      </c>
      <c r="I7" s="14" t="str">
        <f t="shared" si="2"/>
        <v>JUN</v>
      </c>
      <c r="J7" s="14" t="str">
        <f t="shared" si="3"/>
        <v>Standard Price</v>
      </c>
      <c r="K7" s="14">
        <f t="shared" si="4"/>
        <v>8050</v>
      </c>
      <c r="L7" s="41">
        <f t="shared" si="6"/>
        <v>9</v>
      </c>
      <c r="P7" s="16" t="s">
        <v>111</v>
      </c>
      <c r="Q7" s="17" t="s">
        <v>112</v>
      </c>
      <c r="R7" s="18" t="str">
        <f>LEFT(A2,6)</f>
        <v>28-JAN</v>
      </c>
    </row>
    <row r="8" ht="15.75" customHeight="1" spans="1:18">
      <c r="A8" s="10" t="s">
        <v>28</v>
      </c>
      <c r="B8" s="11" t="s">
        <v>29</v>
      </c>
      <c r="C8" s="11" t="s">
        <v>30</v>
      </c>
      <c r="D8" s="11">
        <v>30</v>
      </c>
      <c r="E8" s="11">
        <v>5</v>
      </c>
      <c r="F8" s="11" t="s">
        <v>13</v>
      </c>
      <c r="G8" s="11" t="str">
        <f t="shared" si="0"/>
        <v>UK</v>
      </c>
      <c r="H8" s="11" t="str">
        <f t="shared" si="1"/>
        <v>19-JUL</v>
      </c>
      <c r="I8" s="14" t="str">
        <f t="shared" si="2"/>
        <v>JUL</v>
      </c>
      <c r="J8" s="14" t="str">
        <f t="shared" si="3"/>
        <v>Standard Price</v>
      </c>
      <c r="K8" s="14">
        <f t="shared" si="4"/>
        <v>590</v>
      </c>
      <c r="L8" s="41">
        <f t="shared" si="6"/>
        <v>9</v>
      </c>
      <c r="P8" s="24" t="s">
        <v>113</v>
      </c>
      <c r="Q8" s="25" t="s">
        <v>114</v>
      </c>
      <c r="R8" s="26" t="str">
        <f>MID(A2,4,3)</f>
        <v>JAN</v>
      </c>
    </row>
    <row r="9" ht="15.75" customHeight="1" spans="1:18">
      <c r="A9" s="19" t="s">
        <v>31</v>
      </c>
      <c r="B9" s="20" t="s">
        <v>32</v>
      </c>
      <c r="C9" s="20" t="s">
        <v>33</v>
      </c>
      <c r="D9" s="20">
        <v>90</v>
      </c>
      <c r="E9" s="20">
        <v>35</v>
      </c>
      <c r="F9" s="20" t="s">
        <v>17</v>
      </c>
      <c r="G9" s="20" t="str">
        <f t="shared" si="0"/>
        <v>UK</v>
      </c>
      <c r="H9" s="11" t="str">
        <f t="shared" si="1"/>
        <v>23-AUG</v>
      </c>
      <c r="I9" s="14" t="str">
        <f t="shared" si="2"/>
        <v>AUG</v>
      </c>
      <c r="J9" s="14" t="str">
        <f t="shared" si="3"/>
        <v>Standard Price</v>
      </c>
      <c r="K9" s="14">
        <f t="shared" si="4"/>
        <v>860</v>
      </c>
      <c r="L9" s="41">
        <f t="shared" si="6"/>
        <v>8</v>
      </c>
      <c r="P9" s="16" t="s">
        <v>115</v>
      </c>
      <c r="Q9" s="17" t="s">
        <v>116</v>
      </c>
      <c r="R9" s="18" t="str">
        <f>IF(D2&gt;=500,"High Price","Standard Price")</f>
        <v>High Price</v>
      </c>
    </row>
    <row r="10" ht="15.75" customHeight="1" spans="1:18">
      <c r="A10" s="10" t="s">
        <v>34</v>
      </c>
      <c r="B10" s="11" t="s">
        <v>35</v>
      </c>
      <c r="C10" s="11" t="s">
        <v>36</v>
      </c>
      <c r="D10" s="11">
        <v>500</v>
      </c>
      <c r="E10" s="11">
        <v>50</v>
      </c>
      <c r="F10" s="11" t="s">
        <v>9</v>
      </c>
      <c r="G10" s="11" t="str">
        <f t="shared" si="0"/>
        <v>UK</v>
      </c>
      <c r="H10" s="11" t="str">
        <f t="shared" si="1"/>
        <v>05-SEP</v>
      </c>
      <c r="I10" s="14" t="str">
        <f t="shared" si="2"/>
        <v>SEP</v>
      </c>
      <c r="J10" s="14" t="str">
        <f t="shared" si="3"/>
        <v>High Price</v>
      </c>
      <c r="K10" s="14">
        <f t="shared" si="4"/>
        <v>8050</v>
      </c>
      <c r="L10" s="41">
        <f t="shared" si="6"/>
        <v>7</v>
      </c>
      <c r="P10" s="16" t="s">
        <v>97</v>
      </c>
      <c r="Q10" s="17" t="s">
        <v>117</v>
      </c>
      <c r="R10" s="18">
        <f>SUMIF(F2:F35,F2,D2:D35)</f>
        <v>8050</v>
      </c>
    </row>
    <row r="11" ht="15.75" customHeight="1" spans="1:18">
      <c r="A11" s="19" t="s">
        <v>37</v>
      </c>
      <c r="B11" s="20" t="s">
        <v>38</v>
      </c>
      <c r="C11" s="20" t="s">
        <v>39</v>
      </c>
      <c r="D11" s="20">
        <v>130</v>
      </c>
      <c r="E11" s="20">
        <v>10</v>
      </c>
      <c r="F11" s="20" t="s">
        <v>24</v>
      </c>
      <c r="G11" s="20" t="str">
        <f t="shared" si="0"/>
        <v>UK</v>
      </c>
      <c r="H11" s="11" t="str">
        <f t="shared" si="1"/>
        <v>14-OCT</v>
      </c>
      <c r="I11" s="14" t="str">
        <f t="shared" si="2"/>
        <v>OCT</v>
      </c>
      <c r="J11" s="14" t="str">
        <f t="shared" si="3"/>
        <v>Standard Price</v>
      </c>
      <c r="K11" s="14">
        <f t="shared" si="4"/>
        <v>400</v>
      </c>
      <c r="L11" s="41">
        <f t="shared" si="6"/>
        <v>7</v>
      </c>
      <c r="P11" s="16" t="s">
        <v>98</v>
      </c>
      <c r="Q11" s="17" t="s">
        <v>118</v>
      </c>
      <c r="R11" s="18">
        <f>COUNTIF(D2:D35,"&gt;100")</f>
        <v>22</v>
      </c>
    </row>
    <row r="12" ht="15.75" customHeight="1" spans="1:18">
      <c r="A12" s="10" t="s">
        <v>40</v>
      </c>
      <c r="B12" s="11" t="s">
        <v>7</v>
      </c>
      <c r="C12" s="11" t="s">
        <v>41</v>
      </c>
      <c r="D12" s="11">
        <v>950</v>
      </c>
      <c r="E12" s="11">
        <v>25</v>
      </c>
      <c r="F12" s="11" t="s">
        <v>9</v>
      </c>
      <c r="G12" s="11" t="str">
        <f t="shared" si="0"/>
        <v>IN</v>
      </c>
      <c r="H12" s="11" t="str">
        <f t="shared" si="1"/>
        <v>17-JUN</v>
      </c>
      <c r="I12" s="14" t="str">
        <f t="shared" si="2"/>
        <v>JUN</v>
      </c>
      <c r="J12" s="14" t="str">
        <f t="shared" si="3"/>
        <v>High Price</v>
      </c>
      <c r="K12" s="14">
        <f t="shared" si="4"/>
        <v>8050</v>
      </c>
      <c r="L12" s="41">
        <f t="shared" si="6"/>
        <v>7</v>
      </c>
    </row>
    <row r="13" ht="15.75" customHeight="1" spans="1:18">
      <c r="A13" s="19" t="s">
        <v>42</v>
      </c>
      <c r="B13" s="20" t="s">
        <v>11</v>
      </c>
      <c r="C13" s="20" t="s">
        <v>30</v>
      </c>
      <c r="D13" s="20">
        <v>90</v>
      </c>
      <c r="E13" s="20">
        <v>40</v>
      </c>
      <c r="F13" s="20" t="s">
        <v>13</v>
      </c>
      <c r="G13" s="20" t="str">
        <f t="shared" si="0"/>
        <v>AU</v>
      </c>
      <c r="H13" s="11" t="str">
        <f t="shared" si="1"/>
        <v>25-NOV</v>
      </c>
      <c r="I13" s="14" t="str">
        <f t="shared" si="2"/>
        <v>NOV</v>
      </c>
      <c r="J13" s="14" t="str">
        <f t="shared" si="3"/>
        <v>Standard Price</v>
      </c>
      <c r="K13" s="14">
        <f t="shared" si="4"/>
        <v>590</v>
      </c>
      <c r="L13" s="41">
        <f t="shared" si="6"/>
        <v>7</v>
      </c>
    </row>
    <row r="14" ht="15.75" customHeight="1" spans="1:18">
      <c r="A14" s="10" t="s">
        <v>43</v>
      </c>
      <c r="B14" s="11" t="s">
        <v>15</v>
      </c>
      <c r="C14" s="11" t="s">
        <v>44</v>
      </c>
      <c r="D14" s="11">
        <v>120</v>
      </c>
      <c r="E14" s="11">
        <v>35</v>
      </c>
      <c r="F14" s="11" t="s">
        <v>17</v>
      </c>
      <c r="G14" s="11" t="str">
        <f t="shared" si="0"/>
        <v>DE</v>
      </c>
      <c r="H14" s="11" t="str">
        <f t="shared" si="1"/>
        <v>08-DEC</v>
      </c>
      <c r="I14" s="14" t="str">
        <f t="shared" si="2"/>
        <v>DEC</v>
      </c>
      <c r="J14" s="14" t="str">
        <f t="shared" si="3"/>
        <v>Standard Price</v>
      </c>
      <c r="K14" s="14">
        <f t="shared" si="4"/>
        <v>860</v>
      </c>
      <c r="L14" s="41">
        <f t="shared" si="6"/>
        <v>6</v>
      </c>
    </row>
    <row r="15" ht="15.75" customHeight="1" spans="1:18">
      <c r="A15" s="19" t="s">
        <v>45</v>
      </c>
      <c r="B15" s="20" t="s">
        <v>46</v>
      </c>
      <c r="C15" s="20" t="s">
        <v>47</v>
      </c>
      <c r="D15" s="20">
        <v>150</v>
      </c>
      <c r="E15" s="20">
        <v>15</v>
      </c>
      <c r="F15" s="20" t="s">
        <v>9</v>
      </c>
      <c r="G15" s="20" t="str">
        <f t="shared" si="0"/>
        <v>CA</v>
      </c>
      <c r="H15" s="11" t="str">
        <f t="shared" si="1"/>
        <v>18-FEB</v>
      </c>
      <c r="I15" s="14" t="str">
        <f t="shared" si="2"/>
        <v>FEB</v>
      </c>
      <c r="J15" s="14" t="str">
        <f t="shared" si="3"/>
        <v>Standard Price</v>
      </c>
      <c r="K15" s="14">
        <f t="shared" si="4"/>
        <v>8050</v>
      </c>
      <c r="L15" s="41">
        <f t="shared" si="6"/>
        <v>6</v>
      </c>
    </row>
    <row r="16" ht="15.75" customHeight="1" spans="1:18">
      <c r="A16" s="10" t="s">
        <v>48</v>
      </c>
      <c r="B16" s="11" t="s">
        <v>26</v>
      </c>
      <c r="C16" s="11" t="s">
        <v>49</v>
      </c>
      <c r="D16" s="11">
        <v>250</v>
      </c>
      <c r="E16" s="11">
        <v>20</v>
      </c>
      <c r="F16" s="11" t="s">
        <v>9</v>
      </c>
      <c r="G16" s="11" t="str">
        <f t="shared" si="0"/>
        <v>ES</v>
      </c>
      <c r="H16" s="11" t="str">
        <f t="shared" si="1"/>
        <v>16-APR</v>
      </c>
      <c r="I16" s="14" t="str">
        <f t="shared" si="2"/>
        <v>APR</v>
      </c>
      <c r="J16" s="14" t="str">
        <f t="shared" si="3"/>
        <v>Standard Price</v>
      </c>
      <c r="K16" s="14">
        <f t="shared" si="4"/>
        <v>8050</v>
      </c>
      <c r="L16" s="41">
        <f t="shared" si="6"/>
        <v>6</v>
      </c>
    </row>
    <row r="17" ht="15.75" customHeight="1" spans="1:12">
      <c r="A17" s="19" t="s">
        <v>50</v>
      </c>
      <c r="B17" s="20" t="s">
        <v>51</v>
      </c>
      <c r="C17" s="20" t="s">
        <v>52</v>
      </c>
      <c r="D17" s="20">
        <v>50</v>
      </c>
      <c r="E17" s="20">
        <v>35</v>
      </c>
      <c r="F17" s="20" t="s">
        <v>53</v>
      </c>
      <c r="G17" s="20" t="str">
        <f t="shared" si="0"/>
        <v>CA</v>
      </c>
      <c r="H17" s="11" t="str">
        <f t="shared" si="1"/>
        <v>21-AUG</v>
      </c>
      <c r="I17" s="14" t="str">
        <f t="shared" si="2"/>
        <v>AUG</v>
      </c>
      <c r="J17" s="14" t="str">
        <f t="shared" si="3"/>
        <v>Standard Price</v>
      </c>
      <c r="K17" s="14">
        <f t="shared" si="4"/>
        <v>200</v>
      </c>
      <c r="L17" s="41">
        <f t="shared" si="6"/>
        <v>6</v>
      </c>
    </row>
    <row r="18" ht="15.75" customHeight="1" spans="1:12">
      <c r="A18" s="10" t="s">
        <v>54</v>
      </c>
      <c r="B18" s="11" t="s">
        <v>46</v>
      </c>
      <c r="C18" s="11" t="s">
        <v>55</v>
      </c>
      <c r="D18" s="11">
        <v>160</v>
      </c>
      <c r="E18" s="11">
        <v>15</v>
      </c>
      <c r="F18" s="11" t="s">
        <v>9</v>
      </c>
      <c r="G18" s="11" t="str">
        <f t="shared" si="0"/>
        <v>CN</v>
      </c>
      <c r="H18" s="11" t="str">
        <f t="shared" si="1"/>
        <v>20-AUG</v>
      </c>
      <c r="I18" s="14" t="str">
        <f t="shared" si="2"/>
        <v>AUG</v>
      </c>
      <c r="J18" s="14" t="str">
        <f t="shared" si="3"/>
        <v>Standard Price</v>
      </c>
      <c r="K18" s="14">
        <f t="shared" si="4"/>
        <v>8050</v>
      </c>
      <c r="L18" s="41">
        <f t="shared" si="6"/>
        <v>5</v>
      </c>
    </row>
    <row r="19" ht="15.75" customHeight="1" spans="1:12">
      <c r="A19" s="19" t="s">
        <v>56</v>
      </c>
      <c r="B19" s="20" t="s">
        <v>7</v>
      </c>
      <c r="C19" s="20" t="s">
        <v>57</v>
      </c>
      <c r="D19" s="20">
        <v>980</v>
      </c>
      <c r="E19" s="20">
        <v>10</v>
      </c>
      <c r="F19" s="20" t="s">
        <v>9</v>
      </c>
      <c r="G19" s="20" t="str">
        <f t="shared" si="0"/>
        <v>IT</v>
      </c>
      <c r="H19" s="11" t="str">
        <f t="shared" si="1"/>
        <v>27-JAN</v>
      </c>
      <c r="I19" s="14" t="str">
        <f t="shared" si="2"/>
        <v>JAN</v>
      </c>
      <c r="J19" s="14" t="str">
        <f t="shared" si="3"/>
        <v>High Price</v>
      </c>
      <c r="K19" s="14">
        <f t="shared" si="4"/>
        <v>8050</v>
      </c>
      <c r="L19" s="41">
        <f t="shared" si="6"/>
        <v>5</v>
      </c>
    </row>
    <row r="20" ht="15.75" customHeight="1" spans="1:12">
      <c r="A20" s="10" t="s">
        <v>58</v>
      </c>
      <c r="B20" s="11" t="s">
        <v>59</v>
      </c>
      <c r="C20" s="11" t="s">
        <v>60</v>
      </c>
      <c r="D20" s="11">
        <v>150</v>
      </c>
      <c r="E20" s="11">
        <v>15</v>
      </c>
      <c r="F20" s="11" t="s">
        <v>13</v>
      </c>
      <c r="G20" s="11" t="str">
        <f t="shared" si="0"/>
        <v>UK</v>
      </c>
      <c r="H20" s="11" t="str">
        <f t="shared" si="1"/>
        <v>01-MAR</v>
      </c>
      <c r="I20" s="14" t="str">
        <f t="shared" si="2"/>
        <v>MAR</v>
      </c>
      <c r="J20" s="14" t="str">
        <f t="shared" si="3"/>
        <v>Standard Price</v>
      </c>
      <c r="K20" s="14">
        <f t="shared" si="4"/>
        <v>590</v>
      </c>
      <c r="L20" s="41">
        <f t="shared" si="6"/>
        <v>5</v>
      </c>
    </row>
    <row r="21" ht="15.75" customHeight="1" spans="1:12">
      <c r="A21" s="19" t="s">
        <v>61</v>
      </c>
      <c r="B21" s="20" t="s">
        <v>62</v>
      </c>
      <c r="C21" s="20" t="s">
        <v>63</v>
      </c>
      <c r="D21" s="20">
        <v>200</v>
      </c>
      <c r="E21" s="20">
        <v>10</v>
      </c>
      <c r="F21" s="20" t="s">
        <v>24</v>
      </c>
      <c r="G21" s="20" t="str">
        <f t="shared" si="0"/>
        <v>US</v>
      </c>
      <c r="H21" s="11" t="str">
        <f t="shared" si="1"/>
        <v>14-AUG</v>
      </c>
      <c r="I21" s="14" t="str">
        <f t="shared" si="2"/>
        <v>AUG</v>
      </c>
      <c r="J21" s="14" t="str">
        <f t="shared" si="3"/>
        <v>Standard Price</v>
      </c>
      <c r="K21" s="14">
        <f t="shared" si="4"/>
        <v>400</v>
      </c>
      <c r="L21" s="41">
        <f t="shared" si="6"/>
        <v>5</v>
      </c>
    </row>
    <row r="22" ht="15.75" customHeight="1" spans="1:12">
      <c r="A22" s="10" t="s">
        <v>64</v>
      </c>
      <c r="B22" s="11" t="s">
        <v>65</v>
      </c>
      <c r="C22" s="11" t="s">
        <v>66</v>
      </c>
      <c r="D22" s="11">
        <v>700</v>
      </c>
      <c r="E22" s="11">
        <v>50</v>
      </c>
      <c r="F22" s="11" t="s">
        <v>9</v>
      </c>
      <c r="G22" s="11" t="str">
        <f t="shared" si="0"/>
        <v>RU</v>
      </c>
      <c r="H22" s="11" t="str">
        <f t="shared" si="1"/>
        <v>14-MAY</v>
      </c>
      <c r="I22" s="14" t="str">
        <f t="shared" si="2"/>
        <v>MAY</v>
      </c>
      <c r="J22" s="14" t="str">
        <f t="shared" si="3"/>
        <v>High Price</v>
      </c>
      <c r="K22" s="14">
        <f t="shared" si="4"/>
        <v>8050</v>
      </c>
      <c r="L22" s="41">
        <f t="shared" si="6"/>
        <v>5</v>
      </c>
    </row>
    <row r="23" ht="15.75" customHeight="1" spans="1:12">
      <c r="A23" s="19" t="s">
        <v>67</v>
      </c>
      <c r="B23" s="20" t="s">
        <v>68</v>
      </c>
      <c r="C23" s="20" t="s">
        <v>69</v>
      </c>
      <c r="D23" s="20">
        <v>80</v>
      </c>
      <c r="E23" s="20">
        <v>20</v>
      </c>
      <c r="F23" s="20" t="s">
        <v>17</v>
      </c>
      <c r="G23" s="20" t="str">
        <f t="shared" si="0"/>
        <v>CA</v>
      </c>
      <c r="H23" s="11" t="str">
        <f t="shared" si="1"/>
        <v>09-JAN</v>
      </c>
      <c r="I23" s="14" t="str">
        <f t="shared" si="2"/>
        <v>JAN</v>
      </c>
      <c r="J23" s="14" t="str">
        <f t="shared" si="3"/>
        <v>Standard Price</v>
      </c>
      <c r="K23" s="14">
        <f t="shared" si="4"/>
        <v>860</v>
      </c>
      <c r="L23" s="41">
        <f t="shared" si="6"/>
        <v>5</v>
      </c>
    </row>
    <row r="24" ht="15.75" customHeight="1" spans="1:12">
      <c r="A24" s="10" t="s">
        <v>70</v>
      </c>
      <c r="B24" s="11" t="s">
        <v>71</v>
      </c>
      <c r="C24" s="11" t="s">
        <v>72</v>
      </c>
      <c r="D24" s="11">
        <v>150</v>
      </c>
      <c r="E24" s="11">
        <v>30</v>
      </c>
      <c r="F24" s="11" t="s">
        <v>9</v>
      </c>
      <c r="G24" s="11" t="str">
        <f t="shared" si="0"/>
        <v>BR</v>
      </c>
      <c r="H24" s="11" t="str">
        <f t="shared" si="1"/>
        <v>19-JUL</v>
      </c>
      <c r="I24" s="14" t="str">
        <f t="shared" si="2"/>
        <v>JUL</v>
      </c>
      <c r="J24" s="14" t="str">
        <f t="shared" si="3"/>
        <v>Standard Price</v>
      </c>
      <c r="K24" s="14">
        <f t="shared" si="4"/>
        <v>8050</v>
      </c>
      <c r="L24" s="41">
        <f t="shared" si="6"/>
        <v>4</v>
      </c>
    </row>
    <row r="25" ht="15.75" customHeight="1" spans="1:12">
      <c r="A25" s="19" t="s">
        <v>50</v>
      </c>
      <c r="B25" s="20" t="s">
        <v>51</v>
      </c>
      <c r="C25" s="20" t="s">
        <v>52</v>
      </c>
      <c r="D25" s="20">
        <v>50</v>
      </c>
      <c r="E25" s="20">
        <v>35</v>
      </c>
      <c r="F25" s="20" t="s">
        <v>53</v>
      </c>
      <c r="G25" s="20" t="str">
        <f t="shared" si="0"/>
        <v>CA</v>
      </c>
      <c r="H25" s="42" t="str">
        <f t="shared" si="1"/>
        <v>21-AUG</v>
      </c>
      <c r="I25" s="14" t="str">
        <f t="shared" si="2"/>
        <v>AUG</v>
      </c>
      <c r="J25" s="14" t="str">
        <f t="shared" si="3"/>
        <v>Standard Price</v>
      </c>
      <c r="K25" s="14">
        <f t="shared" si="4"/>
        <v>200</v>
      </c>
      <c r="L25" s="41">
        <f t="shared" si="6"/>
        <v>4</v>
      </c>
    </row>
    <row r="26" ht="15.75" customHeight="1" spans="1:12">
      <c r="A26" s="10" t="s">
        <v>73</v>
      </c>
      <c r="B26" s="11" t="s">
        <v>19</v>
      </c>
      <c r="C26" s="11" t="s">
        <v>74</v>
      </c>
      <c r="D26" s="11">
        <v>800</v>
      </c>
      <c r="E26" s="11">
        <v>45</v>
      </c>
      <c r="F26" s="11" t="s">
        <v>9</v>
      </c>
      <c r="G26" s="11" t="str">
        <f t="shared" si="0"/>
        <v>CA</v>
      </c>
      <c r="H26" s="11" t="str">
        <f t="shared" si="1"/>
        <v>29-SEP</v>
      </c>
      <c r="I26" s="14" t="str">
        <f t="shared" si="2"/>
        <v>SEP</v>
      </c>
      <c r="J26" s="14" t="str">
        <f t="shared" si="3"/>
        <v>High Price</v>
      </c>
      <c r="K26" s="14">
        <f t="shared" si="4"/>
        <v>8050</v>
      </c>
      <c r="L26" s="41">
        <f t="shared" si="6"/>
        <v>3</v>
      </c>
    </row>
    <row r="27" ht="15.75" customHeight="1" spans="1:12">
      <c r="A27" s="19" t="s">
        <v>75</v>
      </c>
      <c r="B27" s="20" t="s">
        <v>59</v>
      </c>
      <c r="C27" s="20" t="s">
        <v>76</v>
      </c>
      <c r="D27" s="20">
        <v>130</v>
      </c>
      <c r="E27" s="20">
        <v>25</v>
      </c>
      <c r="F27" s="20" t="s">
        <v>13</v>
      </c>
      <c r="G27" s="20" t="str">
        <f t="shared" si="0"/>
        <v>CA</v>
      </c>
      <c r="H27" s="11" t="str">
        <f t="shared" si="1"/>
        <v>03-JUN</v>
      </c>
      <c r="I27" s="14" t="str">
        <f t="shared" si="2"/>
        <v>JUN</v>
      </c>
      <c r="J27" s="14" t="str">
        <f t="shared" si="3"/>
        <v>Standard Price</v>
      </c>
      <c r="K27" s="14">
        <f t="shared" si="4"/>
        <v>590</v>
      </c>
      <c r="L27" s="41">
        <f t="shared" si="6"/>
        <v>3</v>
      </c>
    </row>
    <row r="28" ht="15.75" customHeight="1" spans="1:12">
      <c r="A28" s="10" t="s">
        <v>77</v>
      </c>
      <c r="B28" s="11" t="s">
        <v>32</v>
      </c>
      <c r="C28" s="11" t="s">
        <v>78</v>
      </c>
      <c r="D28" s="11">
        <v>400</v>
      </c>
      <c r="E28" s="11">
        <v>40</v>
      </c>
      <c r="F28" s="11" t="s">
        <v>17</v>
      </c>
      <c r="G28" s="11" t="str">
        <f t="shared" si="0"/>
        <v>CA</v>
      </c>
      <c r="H28" s="11" t="str">
        <f t="shared" si="1"/>
        <v>11-JUL</v>
      </c>
      <c r="I28" s="14" t="str">
        <f t="shared" si="2"/>
        <v>JUL</v>
      </c>
      <c r="J28" s="14" t="str">
        <f t="shared" si="3"/>
        <v>Standard Price</v>
      </c>
      <c r="K28" s="14">
        <f t="shared" si="4"/>
        <v>860</v>
      </c>
      <c r="L28" s="41">
        <f t="shared" si="6"/>
        <v>3</v>
      </c>
    </row>
    <row r="29" ht="15.75" customHeight="1" spans="1:12">
      <c r="A29" s="19" t="s">
        <v>48</v>
      </c>
      <c r="B29" s="20" t="s">
        <v>26</v>
      </c>
      <c r="C29" s="20" t="s">
        <v>49</v>
      </c>
      <c r="D29" s="20">
        <v>230</v>
      </c>
      <c r="E29" s="20">
        <v>20</v>
      </c>
      <c r="F29" s="20" t="s">
        <v>9</v>
      </c>
      <c r="G29" s="20" t="str">
        <f t="shared" si="0"/>
        <v>ES</v>
      </c>
      <c r="H29" s="42" t="str">
        <f t="shared" si="1"/>
        <v>16-APR</v>
      </c>
      <c r="I29" s="14" t="str">
        <f t="shared" si="2"/>
        <v>APR</v>
      </c>
      <c r="J29" s="14" t="str">
        <f t="shared" si="3"/>
        <v>Standard Price</v>
      </c>
      <c r="K29" s="14">
        <f t="shared" si="4"/>
        <v>8050</v>
      </c>
      <c r="L29" s="41">
        <f t="shared" si="6"/>
        <v>3</v>
      </c>
    </row>
    <row r="30" ht="15.75" customHeight="1" spans="1:12">
      <c r="A30" s="10" t="s">
        <v>79</v>
      </c>
      <c r="B30" s="11" t="s">
        <v>80</v>
      </c>
      <c r="C30" s="11" t="s">
        <v>81</v>
      </c>
      <c r="D30" s="11">
        <v>60</v>
      </c>
      <c r="E30" s="11">
        <v>30</v>
      </c>
      <c r="F30" s="11" t="s">
        <v>13</v>
      </c>
      <c r="G30" s="11" t="str">
        <f t="shared" si="0"/>
        <v>CA</v>
      </c>
      <c r="H30" s="11" t="str">
        <f t="shared" si="1"/>
        <v>07-MAR</v>
      </c>
      <c r="I30" s="14" t="str">
        <f t="shared" si="2"/>
        <v>MAR</v>
      </c>
      <c r="J30" s="14" t="str">
        <f t="shared" si="3"/>
        <v>Standard Price</v>
      </c>
      <c r="K30" s="14">
        <f t="shared" si="4"/>
        <v>590</v>
      </c>
      <c r="L30" s="41">
        <f t="shared" si="6"/>
        <v>3</v>
      </c>
    </row>
    <row r="31" ht="15.75" customHeight="1" spans="1:12">
      <c r="A31" s="19" t="s">
        <v>82</v>
      </c>
      <c r="B31" s="20" t="s">
        <v>83</v>
      </c>
      <c r="C31" s="20" t="s">
        <v>84</v>
      </c>
      <c r="D31" s="20">
        <v>40</v>
      </c>
      <c r="E31" s="20">
        <v>10</v>
      </c>
      <c r="F31" s="20" t="s">
        <v>17</v>
      </c>
      <c r="G31" s="20" t="str">
        <f t="shared" si="0"/>
        <v>CA</v>
      </c>
      <c r="H31" s="11" t="str">
        <f t="shared" si="1"/>
        <v>13-APR</v>
      </c>
      <c r="I31" s="14" t="str">
        <f t="shared" si="2"/>
        <v>APR</v>
      </c>
      <c r="J31" s="14" t="str">
        <f t="shared" si="3"/>
        <v>Standard Price</v>
      </c>
      <c r="K31" s="14">
        <f t="shared" si="4"/>
        <v>860</v>
      </c>
      <c r="L31" s="41">
        <f t="shared" si="6"/>
        <v>2</v>
      </c>
    </row>
    <row r="32" ht="15.75" customHeight="1" spans="1:12">
      <c r="A32" s="10" t="s">
        <v>85</v>
      </c>
      <c r="B32" s="11" t="s">
        <v>71</v>
      </c>
      <c r="C32" s="11" t="s">
        <v>86</v>
      </c>
      <c r="D32" s="11">
        <v>130</v>
      </c>
      <c r="E32" s="11">
        <v>5</v>
      </c>
      <c r="F32" s="11" t="s">
        <v>9</v>
      </c>
      <c r="G32" s="11" t="str">
        <f t="shared" si="0"/>
        <v>CA</v>
      </c>
      <c r="H32" s="11" t="str">
        <f t="shared" si="1"/>
        <v>24-MAY</v>
      </c>
      <c r="I32" s="14" t="str">
        <f t="shared" si="2"/>
        <v>MAY</v>
      </c>
      <c r="J32" s="14" t="str">
        <f t="shared" si="3"/>
        <v>Standard Price</v>
      </c>
      <c r="K32" s="14">
        <f t="shared" si="4"/>
        <v>8050</v>
      </c>
      <c r="L32" s="41">
        <f t="shared" si="6"/>
        <v>1</v>
      </c>
    </row>
    <row r="33" ht="15.75" customHeight="1" spans="1:12">
      <c r="A33" s="19" t="s">
        <v>87</v>
      </c>
      <c r="B33" s="20" t="s">
        <v>88</v>
      </c>
      <c r="C33" s="20" t="s">
        <v>89</v>
      </c>
      <c r="D33" s="20">
        <v>50</v>
      </c>
      <c r="E33" s="20">
        <v>50</v>
      </c>
      <c r="F33" s="20" t="s">
        <v>13</v>
      </c>
      <c r="G33" s="20" t="str">
        <f t="shared" si="0"/>
        <v>CA</v>
      </c>
      <c r="H33" s="11" t="str">
        <f t="shared" si="1"/>
        <v>02-DEC</v>
      </c>
      <c r="I33" s="14" t="str">
        <f t="shared" si="2"/>
        <v>DEC</v>
      </c>
      <c r="J33" s="14" t="str">
        <f t="shared" si="3"/>
        <v>Standard Price</v>
      </c>
      <c r="K33" s="14">
        <f t="shared" si="4"/>
        <v>590</v>
      </c>
      <c r="L33" s="41">
        <f t="shared" si="6"/>
        <v>1</v>
      </c>
    </row>
    <row r="34" ht="15.75" customHeight="1" spans="1:12">
      <c r="A34" s="10" t="s">
        <v>40</v>
      </c>
      <c r="B34" s="11" t="s">
        <v>7</v>
      </c>
      <c r="C34" s="11" t="s">
        <v>41</v>
      </c>
      <c r="D34" s="11">
        <v>950</v>
      </c>
      <c r="E34" s="11">
        <v>25</v>
      </c>
      <c r="F34" s="11" t="s">
        <v>9</v>
      </c>
      <c r="G34" s="11" t="str">
        <f t="shared" si="0"/>
        <v>IN</v>
      </c>
      <c r="H34" s="11" t="str">
        <f t="shared" si="1"/>
        <v>17-JUN</v>
      </c>
      <c r="I34" s="14" t="str">
        <f t="shared" si="2"/>
        <v>JUN</v>
      </c>
      <c r="J34" s="14" t="str">
        <f t="shared" si="3"/>
        <v>High Price</v>
      </c>
      <c r="K34" s="14">
        <f t="shared" si="4"/>
        <v>8050</v>
      </c>
      <c r="L34" s="41">
        <f t="shared" si="6"/>
        <v>0</v>
      </c>
    </row>
    <row r="35" ht="15.75" customHeight="1" spans="1:12">
      <c r="A35" s="27" t="s">
        <v>90</v>
      </c>
      <c r="B35" s="28" t="s">
        <v>91</v>
      </c>
      <c r="C35" s="28" t="s">
        <v>92</v>
      </c>
      <c r="D35" s="28">
        <v>100</v>
      </c>
      <c r="E35" s="28">
        <v>20</v>
      </c>
      <c r="F35" s="28" t="s">
        <v>53</v>
      </c>
      <c r="G35" s="28" t="str">
        <f t="shared" si="0"/>
        <v>FR</v>
      </c>
      <c r="H35" s="43" t="str">
        <f t="shared" si="1"/>
        <v>09-JUL</v>
      </c>
      <c r="I35" s="30" t="str">
        <f t="shared" si="2"/>
        <v>JUL</v>
      </c>
      <c r="J35" s="30" t="str">
        <f t="shared" si="3"/>
        <v>Standard Price</v>
      </c>
      <c r="K35" s="14">
        <f t="shared" si="4"/>
        <v>200</v>
      </c>
      <c r="L35" s="44">
        <f t="shared" si="6"/>
        <v>0</v>
      </c>
    </row>
    <row r="36" ht="15.75" customHeight="1"/>
    <row r="37" ht="15.75" customHeight="1" spans="1:12">
      <c r="D37" s="2">
        <f>SUM(D2:D36)</f>
        <v>10100</v>
      </c>
      <c r="E37" s="2">
        <f>SUM(E2:E36)</f>
        <v>900</v>
      </c>
      <c r="F37" s="2"/>
      <c r="G37" s="2"/>
      <c r="H37" s="2"/>
      <c r="I37" s="2"/>
      <c r="J37" s="2"/>
      <c r="K37" s="2">
        <f>SUM(K2:K36)</f>
        <v>131840</v>
      </c>
      <c r="L37" s="2">
        <f>SUM(L2:L36)</f>
        <v>187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979"/>
  <sheetViews>
    <sheetView workbookViewId="0">
      <pane ySplit="1" topLeftCell="A2" activePane="bottomLeft" state="frozen"/>
      <selection/>
      <selection pane="bottomLeft" activeCell="H2" sqref="H2"/>
    </sheetView>
  </sheetViews>
  <sheetFormatPr defaultColWidth="12.6636363636364" defaultRowHeight="15" customHeight="1"/>
  <cols>
    <col min="2" max="2" width="15.3363636363636" customWidth="1"/>
    <col min="3" max="3" width="13.6636363636364" customWidth="1"/>
    <col min="7" max="7" width="22.6636363636364" customWidth="1"/>
    <col min="8" max="8" width="18.4454545454545" customWidth="1"/>
    <col min="9" max="9" width="23.6636363636364" customWidth="1"/>
    <col min="10" max="10" width="17.7818181818182" customWidth="1"/>
    <col min="11" max="11" width="19" customWidth="1"/>
    <col min="12" max="12" width="12.2181818181818" customWidth="1"/>
    <col min="16" max="16" width="45.5545454545455" customWidth="1"/>
    <col min="17" max="17" width="38.8909090909091" customWidth="1"/>
  </cols>
  <sheetData>
    <row r="1" ht="15.75" customHeight="1" spans="1:1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119</v>
      </c>
      <c r="H1" s="6" t="s">
        <v>120</v>
      </c>
      <c r="I1" s="6" t="s">
        <v>121</v>
      </c>
      <c r="J1" s="6" t="s">
        <v>122</v>
      </c>
      <c r="K1" s="6" t="s">
        <v>123</v>
      </c>
      <c r="L1" s="6" t="s">
        <v>124</v>
      </c>
      <c r="P1" s="7" t="s">
        <v>99</v>
      </c>
      <c r="Q1" s="8" t="s">
        <v>100</v>
      </c>
      <c r="R1" s="9" t="s">
        <v>101</v>
      </c>
    </row>
    <row r="2" ht="13" spans="1:18">
      <c r="A2" s="10" t="s">
        <v>6</v>
      </c>
      <c r="B2" s="11" t="s">
        <v>7</v>
      </c>
      <c r="C2" s="11" t="s">
        <v>8</v>
      </c>
      <c r="D2" s="11">
        <v>1000</v>
      </c>
      <c r="E2" s="11">
        <v>30</v>
      </c>
      <c r="F2" s="11" t="s">
        <v>9</v>
      </c>
      <c r="G2" s="12" t="str">
        <f t="shared" ref="G2:G35" si="0">TEXT(DATEVALUE(LEFT(A2,7)&amp;"2026"),"dd-mm-yyyy")</f>
        <v>28-01-2026</v>
      </c>
      <c r="H2" s="13" t="s">
        <v>125</v>
      </c>
      <c r="I2" s="11" t="str">
        <f t="shared" ref="I2:I35" si="1">LEFT(A2,6)</f>
        <v>28-JAN</v>
      </c>
      <c r="J2" s="14" t="str">
        <f t="shared" ref="J2:J35" si="2">RIGHT(A2,2)</f>
        <v>US</v>
      </c>
      <c r="K2" s="14" t="str">
        <f t="shared" ref="K2:K35" si="3">PROPER(CLEAN(TRIM(B2)))</f>
        <v>Laptop</v>
      </c>
      <c r="L2" s="15">
        <f t="shared" ref="L2:L35" si="4">IF(D2="",AVERAGEIF($F$2:$F$32,F2,$D$2:$D$32),D2)</f>
        <v>1000</v>
      </c>
      <c r="P2" s="16" t="s">
        <v>102</v>
      </c>
      <c r="Q2" s="17" t="s">
        <v>103</v>
      </c>
      <c r="R2" s="18">
        <f>SUM(D2:D35)</f>
        <v>10100</v>
      </c>
    </row>
    <row r="3" ht="13" spans="1:18">
      <c r="A3" s="19" t="s">
        <v>10</v>
      </c>
      <c r="B3" s="20" t="s">
        <v>11</v>
      </c>
      <c r="C3" s="20" t="s">
        <v>12</v>
      </c>
      <c r="D3" s="20">
        <v>80</v>
      </c>
      <c r="E3" s="20">
        <v>15</v>
      </c>
      <c r="F3" s="20" t="s">
        <v>13</v>
      </c>
      <c r="G3" s="21" t="str">
        <f t="shared" si="0"/>
        <v>15-02-2026</v>
      </c>
      <c r="H3" s="13" t="s">
        <v>125</v>
      </c>
      <c r="I3" s="14" t="str">
        <f t="shared" si="1"/>
        <v>15-FEB</v>
      </c>
      <c r="J3" s="14" t="str">
        <f t="shared" si="2"/>
        <v>US</v>
      </c>
      <c r="K3" s="14" t="str">
        <f t="shared" si="3"/>
        <v>Sneakers</v>
      </c>
      <c r="L3" s="15">
        <f t="shared" si="4"/>
        <v>80</v>
      </c>
      <c r="P3" s="16" t="s">
        <v>104</v>
      </c>
      <c r="Q3" s="17" t="s">
        <v>105</v>
      </c>
      <c r="R3" s="22">
        <f>AVERAGE(D2:D35)</f>
        <v>297.058823529412</v>
      </c>
    </row>
    <row r="4" ht="13" spans="1:18">
      <c r="A4" s="10" t="s">
        <v>14</v>
      </c>
      <c r="B4" s="11" t="s">
        <v>15</v>
      </c>
      <c r="C4" s="11" t="s">
        <v>16</v>
      </c>
      <c r="D4" s="11">
        <v>130</v>
      </c>
      <c r="E4" s="11">
        <v>40</v>
      </c>
      <c r="F4" s="11" t="s">
        <v>17</v>
      </c>
      <c r="G4" s="23" t="str">
        <f t="shared" si="0"/>
        <v>03-03-2026</v>
      </c>
      <c r="H4" s="13" t="s">
        <v>125</v>
      </c>
      <c r="I4" s="14" t="str">
        <f t="shared" si="1"/>
        <v>03-MAR</v>
      </c>
      <c r="J4" s="14" t="str">
        <f t="shared" si="2"/>
        <v>US</v>
      </c>
      <c r="K4" s="14" t="str">
        <f t="shared" si="3"/>
        <v>Coffee Maker</v>
      </c>
      <c r="L4" s="15">
        <f t="shared" si="4"/>
        <v>130</v>
      </c>
      <c r="P4" s="16" t="s">
        <v>106</v>
      </c>
      <c r="Q4" s="17" t="s">
        <v>107</v>
      </c>
      <c r="R4" s="18">
        <f>MIN(D2:D35)</f>
        <v>30</v>
      </c>
    </row>
    <row r="5" ht="13" spans="1:18">
      <c r="A5" s="19" t="s">
        <v>18</v>
      </c>
      <c r="B5" s="20" t="s">
        <v>19</v>
      </c>
      <c r="C5" s="20" t="s">
        <v>20</v>
      </c>
      <c r="D5" s="20">
        <v>900</v>
      </c>
      <c r="E5" s="20">
        <v>25</v>
      </c>
      <c r="F5" s="20" t="s">
        <v>9</v>
      </c>
      <c r="G5" s="21" t="str">
        <f t="shared" si="0"/>
        <v>11-04-2026</v>
      </c>
      <c r="H5" s="13" t="s">
        <v>125</v>
      </c>
      <c r="I5" s="14" t="str">
        <f t="shared" si="1"/>
        <v>11-APR</v>
      </c>
      <c r="J5" s="14" t="str">
        <f t="shared" si="2"/>
        <v>US</v>
      </c>
      <c r="K5" s="14" t="str">
        <f t="shared" si="3"/>
        <v>Smartphone</v>
      </c>
      <c r="L5" s="15">
        <f t="shared" si="4"/>
        <v>900</v>
      </c>
      <c r="P5" s="16" t="s">
        <v>108</v>
      </c>
      <c r="Q5" s="17" t="s">
        <v>103</v>
      </c>
      <c r="R5" s="18">
        <f>MAX(D2:D35)</f>
        <v>1000</v>
      </c>
    </row>
    <row r="6" ht="15.75" customHeight="1" spans="1:18">
      <c r="A6" s="10" t="s">
        <v>21</v>
      </c>
      <c r="B6" s="11" t="s">
        <v>22</v>
      </c>
      <c r="C6" s="11" t="s">
        <v>23</v>
      </c>
      <c r="D6" s="11">
        <v>70</v>
      </c>
      <c r="E6" s="11">
        <v>20</v>
      </c>
      <c r="F6" s="11" t="s">
        <v>24</v>
      </c>
      <c r="G6" s="23" t="str">
        <f t="shared" si="0"/>
        <v>22-05-2026</v>
      </c>
      <c r="H6" s="13" t="s">
        <v>125</v>
      </c>
      <c r="I6" s="14" t="str">
        <f t="shared" si="1"/>
        <v>22-MAY</v>
      </c>
      <c r="J6" s="14" t="str">
        <f t="shared" si="2"/>
        <v>US</v>
      </c>
      <c r="K6" s="14" t="str">
        <f t="shared" si="3"/>
        <v>Backpack</v>
      </c>
      <c r="L6" s="15">
        <f t="shared" si="4"/>
        <v>70</v>
      </c>
      <c r="P6" s="16" t="s">
        <v>109</v>
      </c>
      <c r="Q6" s="17" t="s">
        <v>110</v>
      </c>
      <c r="R6" s="18" t="str">
        <f>RIGHT(A2,2)</f>
        <v>US</v>
      </c>
    </row>
    <row r="7" ht="15.75" customHeight="1" spans="1:18">
      <c r="A7" s="19" t="s">
        <v>25</v>
      </c>
      <c r="B7" s="20" t="s">
        <v>26</v>
      </c>
      <c r="C7" s="20" t="s">
        <v>27</v>
      </c>
      <c r="D7" s="20">
        <v>200</v>
      </c>
      <c r="E7" s="20">
        <v>45</v>
      </c>
      <c r="F7" s="20" t="s">
        <v>9</v>
      </c>
      <c r="G7" s="21" t="str">
        <f t="shared" si="0"/>
        <v>07-06-2026</v>
      </c>
      <c r="H7" s="13" t="s">
        <v>125</v>
      </c>
      <c r="I7" s="14" t="str">
        <f t="shared" si="1"/>
        <v>07-JUN</v>
      </c>
      <c r="J7" s="14" t="str">
        <f t="shared" si="2"/>
        <v>UK</v>
      </c>
      <c r="K7" s="14" t="str">
        <f t="shared" si="3"/>
        <v>Headphones</v>
      </c>
      <c r="L7" s="15">
        <f t="shared" si="4"/>
        <v>200</v>
      </c>
      <c r="P7" s="16" t="s">
        <v>111</v>
      </c>
      <c r="Q7" s="17" t="s">
        <v>112</v>
      </c>
      <c r="R7" s="18" t="str">
        <f>LEFT(A2,6)</f>
        <v>28-JAN</v>
      </c>
    </row>
    <row r="8" ht="15.75" customHeight="1" spans="1:18">
      <c r="A8" s="10" t="s">
        <v>28</v>
      </c>
      <c r="B8" s="11" t="s">
        <v>29</v>
      </c>
      <c r="C8" s="11" t="s">
        <v>30</v>
      </c>
      <c r="D8" s="11">
        <v>30</v>
      </c>
      <c r="E8" s="11">
        <v>5</v>
      </c>
      <c r="F8" s="11" t="s">
        <v>13</v>
      </c>
      <c r="G8" s="23" t="str">
        <f t="shared" si="0"/>
        <v>19-07-2026</v>
      </c>
      <c r="H8" s="13" t="s">
        <v>125</v>
      </c>
      <c r="I8" s="14" t="str">
        <f t="shared" si="1"/>
        <v>19-JUL</v>
      </c>
      <c r="J8" s="14" t="str">
        <f t="shared" si="2"/>
        <v>UK</v>
      </c>
      <c r="K8" s="14" t="str">
        <f t="shared" si="3"/>
        <v>T-Shirt</v>
      </c>
      <c r="L8" s="15">
        <f t="shared" si="4"/>
        <v>30</v>
      </c>
      <c r="P8" s="24" t="s">
        <v>113</v>
      </c>
      <c r="Q8" s="25" t="s">
        <v>114</v>
      </c>
      <c r="R8" s="26" t="str">
        <f>MID(A2,4,3)</f>
        <v>JAN</v>
      </c>
    </row>
    <row r="9" ht="15.75" customHeight="1" spans="1:18">
      <c r="A9" s="19" t="s">
        <v>31</v>
      </c>
      <c r="B9" s="20" t="s">
        <v>32</v>
      </c>
      <c r="C9" s="20" t="s">
        <v>33</v>
      </c>
      <c r="D9" s="20">
        <v>90</v>
      </c>
      <c r="E9" s="20">
        <v>35</v>
      </c>
      <c r="F9" s="20" t="s">
        <v>17</v>
      </c>
      <c r="G9" s="21" t="str">
        <f t="shared" si="0"/>
        <v>23-08-2026</v>
      </c>
      <c r="H9" s="13" t="s">
        <v>125</v>
      </c>
      <c r="I9" s="14" t="str">
        <f t="shared" si="1"/>
        <v>23-AUG</v>
      </c>
      <c r="J9" s="14" t="str">
        <f t="shared" si="2"/>
        <v>UK</v>
      </c>
      <c r="K9" s="14" t="str">
        <f t="shared" si="3"/>
        <v>Blender</v>
      </c>
      <c r="L9" s="15">
        <f t="shared" si="4"/>
        <v>90</v>
      </c>
      <c r="P9" s="16" t="s">
        <v>115</v>
      </c>
      <c r="Q9" s="17" t="s">
        <v>116</v>
      </c>
      <c r="R9" s="18" t="str">
        <f>IF(D2&gt;=500,"High Price","Standard Price")</f>
        <v>High Price</v>
      </c>
    </row>
    <row r="10" ht="15.75" customHeight="1" spans="1:18">
      <c r="A10" s="10" t="s">
        <v>34</v>
      </c>
      <c r="B10" s="11" t="s">
        <v>35</v>
      </c>
      <c r="C10" s="11" t="s">
        <v>36</v>
      </c>
      <c r="D10" s="11">
        <v>500</v>
      </c>
      <c r="E10" s="11">
        <v>50</v>
      </c>
      <c r="F10" s="11" t="s">
        <v>9</v>
      </c>
      <c r="G10" s="23" t="str">
        <f t="shared" si="0"/>
        <v>05-09-2026</v>
      </c>
      <c r="H10" s="13" t="s">
        <v>125</v>
      </c>
      <c r="I10" s="14" t="str">
        <f t="shared" si="1"/>
        <v>05-SEP</v>
      </c>
      <c r="J10" s="14" t="str">
        <f t="shared" si="2"/>
        <v>UK</v>
      </c>
      <c r="K10" s="14" t="str">
        <f t="shared" si="3"/>
        <v>Tablet</v>
      </c>
      <c r="L10" s="15">
        <f t="shared" si="4"/>
        <v>500</v>
      </c>
      <c r="P10" s="16" t="s">
        <v>97</v>
      </c>
      <c r="Q10" s="17" t="s">
        <v>117</v>
      </c>
      <c r="R10" s="18">
        <f>SUMIF(F2:F35,F2,D2:D35)</f>
        <v>8050</v>
      </c>
    </row>
    <row r="11" ht="15.75" customHeight="1" spans="1:18">
      <c r="A11" s="19" t="s">
        <v>37</v>
      </c>
      <c r="B11" s="20" t="s">
        <v>38</v>
      </c>
      <c r="C11" s="20" t="s">
        <v>39</v>
      </c>
      <c r="D11" s="20">
        <v>130</v>
      </c>
      <c r="E11" s="20">
        <v>10</v>
      </c>
      <c r="F11" s="20" t="s">
        <v>24</v>
      </c>
      <c r="G11" s="21" t="str">
        <f t="shared" si="0"/>
        <v>14-10-2026</v>
      </c>
      <c r="H11" s="13" t="s">
        <v>125</v>
      </c>
      <c r="I11" s="14" t="str">
        <f t="shared" si="1"/>
        <v>14-OCT</v>
      </c>
      <c r="J11" s="14" t="str">
        <f t="shared" si="2"/>
        <v>UK</v>
      </c>
      <c r="K11" s="14" t="str">
        <f t="shared" si="3"/>
        <v>Hiking Boots</v>
      </c>
      <c r="L11" s="15">
        <f t="shared" si="4"/>
        <v>130</v>
      </c>
      <c r="P11" s="16" t="s">
        <v>98</v>
      </c>
      <c r="Q11" s="17" t="s">
        <v>118</v>
      </c>
      <c r="R11" s="18">
        <f>COUNTIF(D2:D35,"&gt;100")</f>
        <v>22</v>
      </c>
    </row>
    <row r="12" ht="15.75" customHeight="1" spans="1:18">
      <c r="A12" s="10" t="s">
        <v>40</v>
      </c>
      <c r="B12" s="11" t="s">
        <v>7</v>
      </c>
      <c r="C12" s="11" t="s">
        <v>41</v>
      </c>
      <c r="D12" s="11">
        <v>950</v>
      </c>
      <c r="E12" s="11">
        <v>25</v>
      </c>
      <c r="F12" s="11" t="s">
        <v>9</v>
      </c>
      <c r="G12" s="23" t="str">
        <f t="shared" si="0"/>
        <v>17-06-2026</v>
      </c>
      <c r="H12" s="13" t="s">
        <v>125</v>
      </c>
      <c r="I12" s="14" t="str">
        <f t="shared" si="1"/>
        <v>17-JUN</v>
      </c>
      <c r="J12" s="14" t="str">
        <f t="shared" si="2"/>
        <v>IN</v>
      </c>
      <c r="K12" s="14" t="str">
        <f t="shared" si="3"/>
        <v>Laptop</v>
      </c>
      <c r="L12" s="15">
        <f t="shared" si="4"/>
        <v>950</v>
      </c>
    </row>
    <row r="13" ht="15.75" customHeight="1" spans="1:18">
      <c r="A13" s="19" t="s">
        <v>42</v>
      </c>
      <c r="B13" s="20" t="s">
        <v>11</v>
      </c>
      <c r="C13" s="20" t="s">
        <v>30</v>
      </c>
      <c r="D13" s="20">
        <v>90</v>
      </c>
      <c r="E13" s="20">
        <v>40</v>
      </c>
      <c r="F13" s="20" t="s">
        <v>13</v>
      </c>
      <c r="G13" s="21" t="str">
        <f t="shared" si="0"/>
        <v>25-11-2026</v>
      </c>
      <c r="H13" s="13" t="s">
        <v>125</v>
      </c>
      <c r="I13" s="14" t="str">
        <f t="shared" si="1"/>
        <v>25-NOV</v>
      </c>
      <c r="J13" s="14" t="str">
        <f t="shared" si="2"/>
        <v>AU</v>
      </c>
      <c r="K13" s="14" t="str">
        <f t="shared" si="3"/>
        <v>Sneakers</v>
      </c>
      <c r="L13" s="15">
        <f t="shared" si="4"/>
        <v>90</v>
      </c>
    </row>
    <row r="14" ht="15.75" customHeight="1" spans="1:18">
      <c r="A14" s="10" t="s">
        <v>43</v>
      </c>
      <c r="B14" s="11" t="s">
        <v>15</v>
      </c>
      <c r="C14" s="11" t="s">
        <v>44</v>
      </c>
      <c r="D14" s="11">
        <v>120</v>
      </c>
      <c r="E14" s="11">
        <v>35</v>
      </c>
      <c r="F14" s="11" t="s">
        <v>17</v>
      </c>
      <c r="G14" s="23" t="str">
        <f t="shared" si="0"/>
        <v>08-12-2026</v>
      </c>
      <c r="H14" s="13" t="s">
        <v>125</v>
      </c>
      <c r="I14" s="14" t="str">
        <f t="shared" si="1"/>
        <v>08-DEC</v>
      </c>
      <c r="J14" s="14" t="str">
        <f t="shared" si="2"/>
        <v>DE</v>
      </c>
      <c r="K14" s="14" t="str">
        <f t="shared" si="3"/>
        <v>Coffee Maker</v>
      </c>
      <c r="L14" s="15">
        <f t="shared" si="4"/>
        <v>120</v>
      </c>
    </row>
    <row r="15" ht="15.75" customHeight="1" spans="1:18">
      <c r="A15" s="19" t="s">
        <v>45</v>
      </c>
      <c r="B15" s="20" t="s">
        <v>46</v>
      </c>
      <c r="C15" s="20" t="s">
        <v>47</v>
      </c>
      <c r="D15" s="20">
        <v>150</v>
      </c>
      <c r="E15" s="20">
        <v>15</v>
      </c>
      <c r="F15" s="20" t="s">
        <v>9</v>
      </c>
      <c r="G15" s="21" t="str">
        <f t="shared" si="0"/>
        <v>18-02-2026</v>
      </c>
      <c r="H15" s="13" t="s">
        <v>125</v>
      </c>
      <c r="I15" s="14" t="str">
        <f t="shared" si="1"/>
        <v>18-FEB</v>
      </c>
      <c r="J15" s="14" t="str">
        <f t="shared" si="2"/>
        <v>CA</v>
      </c>
      <c r="K15" s="14" t="str">
        <f t="shared" si="3"/>
        <v>Smartwatch</v>
      </c>
      <c r="L15" s="15">
        <f t="shared" si="4"/>
        <v>150</v>
      </c>
    </row>
    <row r="16" ht="15.75" customHeight="1" spans="1:18">
      <c r="A16" s="10" t="s">
        <v>48</v>
      </c>
      <c r="B16" s="11" t="s">
        <v>26</v>
      </c>
      <c r="C16" s="11" t="s">
        <v>49</v>
      </c>
      <c r="D16" s="11">
        <v>250</v>
      </c>
      <c r="E16" s="11">
        <v>20</v>
      </c>
      <c r="F16" s="11" t="s">
        <v>9</v>
      </c>
      <c r="G16" s="23" t="str">
        <f t="shared" si="0"/>
        <v>16-04-2026</v>
      </c>
      <c r="H16" s="13" t="s">
        <v>125</v>
      </c>
      <c r="I16" s="14" t="str">
        <f t="shared" si="1"/>
        <v>16-APR</v>
      </c>
      <c r="J16" s="14" t="str">
        <f t="shared" si="2"/>
        <v>ES</v>
      </c>
      <c r="K16" s="14" t="str">
        <f t="shared" si="3"/>
        <v>Headphones</v>
      </c>
      <c r="L16" s="15">
        <f t="shared" si="4"/>
        <v>250</v>
      </c>
    </row>
    <row r="17" ht="15.75" customHeight="1" spans="1:12">
      <c r="A17" s="19" t="s">
        <v>50</v>
      </c>
      <c r="B17" s="20" t="s">
        <v>51</v>
      </c>
      <c r="C17" s="20" t="s">
        <v>52</v>
      </c>
      <c r="D17" s="20">
        <v>50</v>
      </c>
      <c r="E17" s="20">
        <v>35</v>
      </c>
      <c r="F17" s="20" t="s">
        <v>53</v>
      </c>
      <c r="G17" s="21" t="str">
        <f t="shared" si="0"/>
        <v>21-08-2026</v>
      </c>
      <c r="H17" s="13" t="s">
        <v>125</v>
      </c>
      <c r="I17" s="14" t="str">
        <f t="shared" si="1"/>
        <v>21-AUG</v>
      </c>
      <c r="J17" s="14" t="str">
        <f t="shared" si="2"/>
        <v>CA</v>
      </c>
      <c r="K17" s="14" t="str">
        <f t="shared" si="3"/>
        <v>Laptop Bag</v>
      </c>
      <c r="L17" s="15">
        <f t="shared" si="4"/>
        <v>50</v>
      </c>
    </row>
    <row r="18" ht="15.75" customHeight="1" spans="1:12">
      <c r="A18" s="10" t="s">
        <v>54</v>
      </c>
      <c r="B18" s="11" t="s">
        <v>46</v>
      </c>
      <c r="C18" s="11" t="s">
        <v>55</v>
      </c>
      <c r="D18" s="11">
        <v>160</v>
      </c>
      <c r="E18" s="11">
        <v>15</v>
      </c>
      <c r="F18" s="11" t="s">
        <v>9</v>
      </c>
      <c r="G18" s="23" t="str">
        <f t="shared" si="0"/>
        <v>20-08-2026</v>
      </c>
      <c r="H18" s="13" t="s">
        <v>125</v>
      </c>
      <c r="I18" s="14" t="str">
        <f t="shared" si="1"/>
        <v>20-AUG</v>
      </c>
      <c r="J18" s="14" t="str">
        <f t="shared" si="2"/>
        <v>CN</v>
      </c>
      <c r="K18" s="14" t="str">
        <f t="shared" si="3"/>
        <v>Smartwatch</v>
      </c>
      <c r="L18" s="15">
        <f t="shared" si="4"/>
        <v>160</v>
      </c>
    </row>
    <row r="19" ht="15.75" customHeight="1" spans="1:12">
      <c r="A19" s="19" t="s">
        <v>56</v>
      </c>
      <c r="B19" s="20" t="s">
        <v>7</v>
      </c>
      <c r="C19" s="20" t="s">
        <v>57</v>
      </c>
      <c r="D19" s="20">
        <v>980</v>
      </c>
      <c r="E19" s="20">
        <v>10</v>
      </c>
      <c r="F19" s="20" t="s">
        <v>9</v>
      </c>
      <c r="G19" s="21" t="str">
        <f t="shared" si="0"/>
        <v>27-01-2026</v>
      </c>
      <c r="H19" s="13" t="s">
        <v>125</v>
      </c>
      <c r="I19" s="14" t="str">
        <f t="shared" si="1"/>
        <v>27-JAN</v>
      </c>
      <c r="J19" s="14" t="str">
        <f t="shared" si="2"/>
        <v>IT</v>
      </c>
      <c r="K19" s="14" t="str">
        <f t="shared" si="3"/>
        <v>Laptop</v>
      </c>
      <c r="L19" s="15">
        <f t="shared" si="4"/>
        <v>980</v>
      </c>
    </row>
    <row r="20" ht="15.75" customHeight="1" spans="1:12">
      <c r="A20" s="10" t="s">
        <v>58</v>
      </c>
      <c r="B20" s="11" t="s">
        <v>59</v>
      </c>
      <c r="C20" s="11" t="s">
        <v>60</v>
      </c>
      <c r="D20" s="11">
        <v>150</v>
      </c>
      <c r="E20" s="11">
        <v>15</v>
      </c>
      <c r="F20" s="11" t="s">
        <v>13</v>
      </c>
      <c r="G20" s="23" t="str">
        <f t="shared" si="0"/>
        <v>01-03-2026</v>
      </c>
      <c r="H20" s="13" t="s">
        <v>125</v>
      </c>
      <c r="I20" s="14" t="str">
        <f t="shared" si="1"/>
        <v>01-MAR</v>
      </c>
      <c r="J20" s="14" t="str">
        <f t="shared" si="2"/>
        <v>UK</v>
      </c>
      <c r="K20" s="14" t="str">
        <f t="shared" si="3"/>
        <v>Sunglasses</v>
      </c>
      <c r="L20" s="15">
        <f t="shared" si="4"/>
        <v>150</v>
      </c>
    </row>
    <row r="21" ht="15.75" customHeight="1" spans="1:12">
      <c r="A21" s="19" t="s">
        <v>61</v>
      </c>
      <c r="B21" s="20" t="s">
        <v>62</v>
      </c>
      <c r="C21" s="20" t="s">
        <v>63</v>
      </c>
      <c r="D21" s="20">
        <v>200</v>
      </c>
      <c r="E21" s="20">
        <v>10</v>
      </c>
      <c r="F21" s="20" t="s">
        <v>24</v>
      </c>
      <c r="G21" s="21" t="str">
        <f t="shared" si="0"/>
        <v>14-08-2026</v>
      </c>
      <c r="H21" s="13" t="s">
        <v>125</v>
      </c>
      <c r="I21" s="14" t="str">
        <f t="shared" si="1"/>
        <v>14-AUG</v>
      </c>
      <c r="J21" s="14" t="str">
        <f t="shared" si="2"/>
        <v>US</v>
      </c>
      <c r="K21" s="14" t="str">
        <f t="shared" si="3"/>
        <v>Camping Tent</v>
      </c>
      <c r="L21" s="15">
        <f t="shared" si="4"/>
        <v>200</v>
      </c>
    </row>
    <row r="22" ht="15.75" customHeight="1" spans="1:12">
      <c r="A22" s="10" t="s">
        <v>64</v>
      </c>
      <c r="B22" s="11" t="s">
        <v>65</v>
      </c>
      <c r="C22" s="11" t="s">
        <v>66</v>
      </c>
      <c r="D22" s="11">
        <v>700</v>
      </c>
      <c r="E22" s="11">
        <v>50</v>
      </c>
      <c r="F22" s="11" t="s">
        <v>9</v>
      </c>
      <c r="G22" s="23" t="str">
        <f t="shared" si="0"/>
        <v>14-05-2026</v>
      </c>
      <c r="H22" s="13" t="s">
        <v>125</v>
      </c>
      <c r="I22" s="14" t="str">
        <f t="shared" si="1"/>
        <v>14-MAY</v>
      </c>
      <c r="J22" s="14" t="str">
        <f t="shared" si="2"/>
        <v>RU</v>
      </c>
      <c r="K22" s="14" t="str">
        <f t="shared" si="3"/>
        <v>Camera</v>
      </c>
      <c r="L22" s="15">
        <f t="shared" si="4"/>
        <v>700</v>
      </c>
    </row>
    <row r="23" ht="15.75" customHeight="1" spans="1:12">
      <c r="A23" s="19" t="s">
        <v>67</v>
      </c>
      <c r="B23" s="20" t="s">
        <v>68</v>
      </c>
      <c r="C23" s="20" t="s">
        <v>69</v>
      </c>
      <c r="D23" s="20">
        <v>80</v>
      </c>
      <c r="E23" s="20">
        <v>20</v>
      </c>
      <c r="F23" s="20" t="s">
        <v>17</v>
      </c>
      <c r="G23" s="21" t="str">
        <f t="shared" si="0"/>
        <v>09-01-2026</v>
      </c>
      <c r="H23" s="13" t="s">
        <v>125</v>
      </c>
      <c r="I23" s="14" t="str">
        <f t="shared" si="1"/>
        <v>09-JAN</v>
      </c>
      <c r="J23" s="14" t="str">
        <f t="shared" si="2"/>
        <v>CA</v>
      </c>
      <c r="K23" s="14" t="str">
        <f t="shared" si="3"/>
        <v>Microwave</v>
      </c>
      <c r="L23" s="15">
        <f t="shared" si="4"/>
        <v>80</v>
      </c>
    </row>
    <row r="24" ht="15.75" customHeight="1" spans="1:12">
      <c r="A24" s="10" t="s">
        <v>70</v>
      </c>
      <c r="B24" s="11" t="s">
        <v>71</v>
      </c>
      <c r="C24" s="11" t="s">
        <v>72</v>
      </c>
      <c r="D24" s="11">
        <v>150</v>
      </c>
      <c r="E24" s="11">
        <v>30</v>
      </c>
      <c r="F24" s="11" t="s">
        <v>9</v>
      </c>
      <c r="G24" s="23" t="str">
        <f t="shared" si="0"/>
        <v>19-07-2026</v>
      </c>
      <c r="H24" s="13" t="s">
        <v>125</v>
      </c>
      <c r="I24" s="14" t="str">
        <f t="shared" si="1"/>
        <v>19-JUL</v>
      </c>
      <c r="J24" s="14" t="str">
        <f t="shared" si="2"/>
        <v>BR</v>
      </c>
      <c r="K24" s="14" t="str">
        <f t="shared" si="3"/>
        <v>Fitness Tracker</v>
      </c>
      <c r="L24" s="15">
        <f t="shared" si="4"/>
        <v>150</v>
      </c>
    </row>
    <row r="25" ht="15.75" customHeight="1" spans="1:12">
      <c r="A25" s="19" t="s">
        <v>50</v>
      </c>
      <c r="B25" s="20" t="s">
        <v>51</v>
      </c>
      <c r="C25" s="20" t="s">
        <v>52</v>
      </c>
      <c r="D25" s="20">
        <v>50</v>
      </c>
      <c r="E25" s="20">
        <v>35</v>
      </c>
      <c r="F25" s="20" t="s">
        <v>53</v>
      </c>
      <c r="G25" s="21" t="str">
        <f t="shared" si="0"/>
        <v>21-08-2026</v>
      </c>
      <c r="H25" s="13" t="s">
        <v>125</v>
      </c>
      <c r="I25" s="14" t="str">
        <f t="shared" si="1"/>
        <v>21-AUG</v>
      </c>
      <c r="J25" s="14" t="str">
        <f t="shared" si="2"/>
        <v>CA</v>
      </c>
      <c r="K25" s="14" t="str">
        <f t="shared" si="3"/>
        <v>Laptop Bag</v>
      </c>
      <c r="L25" s="15">
        <f t="shared" si="4"/>
        <v>50</v>
      </c>
    </row>
    <row r="26" ht="15.75" customHeight="1" spans="1:12">
      <c r="A26" s="10" t="s">
        <v>73</v>
      </c>
      <c r="B26" s="11" t="s">
        <v>19</v>
      </c>
      <c r="C26" s="11" t="s">
        <v>74</v>
      </c>
      <c r="D26" s="11">
        <v>800</v>
      </c>
      <c r="E26" s="11">
        <v>45</v>
      </c>
      <c r="F26" s="11" t="s">
        <v>9</v>
      </c>
      <c r="G26" s="23" t="str">
        <f t="shared" si="0"/>
        <v>29-09-2026</v>
      </c>
      <c r="H26" s="13" t="s">
        <v>125</v>
      </c>
      <c r="I26" s="14" t="str">
        <f t="shared" si="1"/>
        <v>29-SEP</v>
      </c>
      <c r="J26" s="14" t="str">
        <f t="shared" si="2"/>
        <v>CA</v>
      </c>
      <c r="K26" s="14" t="str">
        <f t="shared" si="3"/>
        <v>Smartphone</v>
      </c>
      <c r="L26" s="15">
        <f t="shared" si="4"/>
        <v>800</v>
      </c>
    </row>
    <row r="27" ht="15.75" customHeight="1" spans="1:12">
      <c r="A27" s="19" t="s">
        <v>75</v>
      </c>
      <c r="B27" s="20" t="s">
        <v>59</v>
      </c>
      <c r="C27" s="20" t="s">
        <v>76</v>
      </c>
      <c r="D27" s="20">
        <v>130</v>
      </c>
      <c r="E27" s="20">
        <v>25</v>
      </c>
      <c r="F27" s="20" t="s">
        <v>13</v>
      </c>
      <c r="G27" s="21" t="str">
        <f t="shared" si="0"/>
        <v>03-06-2026</v>
      </c>
      <c r="H27" s="13" t="s">
        <v>125</v>
      </c>
      <c r="I27" s="14" t="str">
        <f t="shared" si="1"/>
        <v>03-JUN</v>
      </c>
      <c r="J27" s="14" t="str">
        <f t="shared" si="2"/>
        <v>CA</v>
      </c>
      <c r="K27" s="14" t="str">
        <f t="shared" si="3"/>
        <v>Sunglasses</v>
      </c>
      <c r="L27" s="15">
        <f t="shared" si="4"/>
        <v>130</v>
      </c>
    </row>
    <row r="28" ht="15.75" customHeight="1" spans="1:12">
      <c r="A28" s="10" t="s">
        <v>77</v>
      </c>
      <c r="B28" s="11" t="s">
        <v>32</v>
      </c>
      <c r="C28" s="11" t="s">
        <v>78</v>
      </c>
      <c r="D28" s="11">
        <v>400</v>
      </c>
      <c r="E28" s="11">
        <v>40</v>
      </c>
      <c r="F28" s="11" t="s">
        <v>17</v>
      </c>
      <c r="G28" s="23" t="str">
        <f t="shared" si="0"/>
        <v>11-07-2026</v>
      </c>
      <c r="H28" s="13" t="s">
        <v>125</v>
      </c>
      <c r="I28" s="14" t="str">
        <f t="shared" si="1"/>
        <v>11-JUL</v>
      </c>
      <c r="J28" s="14" t="str">
        <f t="shared" si="2"/>
        <v>CA</v>
      </c>
      <c r="K28" s="14" t="str">
        <f t="shared" si="3"/>
        <v>Blender</v>
      </c>
      <c r="L28" s="15">
        <f t="shared" si="4"/>
        <v>400</v>
      </c>
    </row>
    <row r="29" ht="15.75" customHeight="1" spans="1:12">
      <c r="A29" s="19" t="s">
        <v>48</v>
      </c>
      <c r="B29" s="20" t="s">
        <v>26</v>
      </c>
      <c r="C29" s="20" t="s">
        <v>49</v>
      </c>
      <c r="D29" s="20">
        <v>230</v>
      </c>
      <c r="E29" s="20">
        <v>20</v>
      </c>
      <c r="F29" s="20" t="s">
        <v>9</v>
      </c>
      <c r="G29" s="21" t="str">
        <f t="shared" si="0"/>
        <v>16-04-2026</v>
      </c>
      <c r="H29" s="13" t="s">
        <v>125</v>
      </c>
      <c r="I29" s="14" t="str">
        <f t="shared" si="1"/>
        <v>16-APR</v>
      </c>
      <c r="J29" s="14" t="str">
        <f t="shared" si="2"/>
        <v>ES</v>
      </c>
      <c r="K29" s="14" t="str">
        <f t="shared" si="3"/>
        <v>Headphones</v>
      </c>
      <c r="L29" s="15">
        <f t="shared" si="4"/>
        <v>230</v>
      </c>
    </row>
    <row r="30" ht="15.75" customHeight="1" spans="1:12">
      <c r="A30" s="10" t="s">
        <v>79</v>
      </c>
      <c r="B30" s="11" t="s">
        <v>80</v>
      </c>
      <c r="C30" s="11" t="s">
        <v>81</v>
      </c>
      <c r="D30" s="11">
        <v>60</v>
      </c>
      <c r="E30" s="11">
        <v>30</v>
      </c>
      <c r="F30" s="11" t="s">
        <v>13</v>
      </c>
      <c r="G30" s="23" t="str">
        <f t="shared" si="0"/>
        <v>07-03-2026</v>
      </c>
      <c r="H30" s="13" t="s">
        <v>125</v>
      </c>
      <c r="I30" s="14" t="str">
        <f t="shared" si="1"/>
        <v>07-MAR</v>
      </c>
      <c r="J30" s="14" t="str">
        <f t="shared" si="2"/>
        <v>CA</v>
      </c>
      <c r="K30" s="14" t="str">
        <f t="shared" si="3"/>
        <v>Dress</v>
      </c>
      <c r="L30" s="15">
        <f t="shared" si="4"/>
        <v>60</v>
      </c>
    </row>
    <row r="31" ht="15.75" customHeight="1" spans="1:12">
      <c r="A31" s="19" t="s">
        <v>82</v>
      </c>
      <c r="B31" s="20" t="s">
        <v>83</v>
      </c>
      <c r="C31" s="20" t="s">
        <v>84</v>
      </c>
      <c r="D31" s="20">
        <v>40</v>
      </c>
      <c r="E31" s="20">
        <v>10</v>
      </c>
      <c r="F31" s="20" t="s">
        <v>17</v>
      </c>
      <c r="G31" s="21" t="str">
        <f t="shared" si="0"/>
        <v>13-04-2026</v>
      </c>
      <c r="H31" s="13" t="s">
        <v>125</v>
      </c>
      <c r="I31" s="14" t="str">
        <f t="shared" si="1"/>
        <v>13-APR</v>
      </c>
      <c r="J31" s="14" t="str">
        <f t="shared" si="2"/>
        <v>CA</v>
      </c>
      <c r="K31" s="14" t="str">
        <f t="shared" si="3"/>
        <v>Toaster</v>
      </c>
      <c r="L31" s="15">
        <f t="shared" si="4"/>
        <v>40</v>
      </c>
    </row>
    <row r="32" ht="15.75" customHeight="1" spans="1:12">
      <c r="A32" s="10" t="s">
        <v>85</v>
      </c>
      <c r="B32" s="11" t="s">
        <v>71</v>
      </c>
      <c r="C32" s="11" t="s">
        <v>86</v>
      </c>
      <c r="D32" s="11">
        <v>130</v>
      </c>
      <c r="E32" s="11">
        <v>5</v>
      </c>
      <c r="F32" s="11" t="s">
        <v>9</v>
      </c>
      <c r="G32" s="23" t="str">
        <f t="shared" si="0"/>
        <v>24-05-2026</v>
      </c>
      <c r="H32" s="13" t="s">
        <v>125</v>
      </c>
      <c r="I32" s="14" t="str">
        <f t="shared" si="1"/>
        <v>24-MAY</v>
      </c>
      <c r="J32" s="14" t="str">
        <f t="shared" si="2"/>
        <v>CA</v>
      </c>
      <c r="K32" s="14" t="str">
        <f t="shared" si="3"/>
        <v>Fitness Tracker</v>
      </c>
      <c r="L32" s="15">
        <f t="shared" si="4"/>
        <v>130</v>
      </c>
    </row>
    <row r="33" ht="15.75" customHeight="1" spans="1:14">
      <c r="A33" s="19" t="s">
        <v>87</v>
      </c>
      <c r="B33" s="20" t="s">
        <v>88</v>
      </c>
      <c r="C33" s="20" t="s">
        <v>89</v>
      </c>
      <c r="D33" s="20">
        <v>50</v>
      </c>
      <c r="E33" s="20">
        <v>50</v>
      </c>
      <c r="F33" s="20" t="s">
        <v>13</v>
      </c>
      <c r="G33" s="21" t="str">
        <f t="shared" si="0"/>
        <v>02-12-2026</v>
      </c>
      <c r="H33" s="13" t="s">
        <v>125</v>
      </c>
      <c r="I33" s="14" t="str">
        <f t="shared" si="1"/>
        <v>02-DEC</v>
      </c>
      <c r="J33" s="14" t="str">
        <f t="shared" si="2"/>
        <v>CA</v>
      </c>
      <c r="K33" s="14" t="str">
        <f t="shared" si="3"/>
        <v>Jeans</v>
      </c>
      <c r="L33" s="15">
        <f t="shared" si="4"/>
        <v>50</v>
      </c>
    </row>
    <row r="34" ht="15.75" customHeight="1" spans="1:14">
      <c r="A34" s="10" t="s">
        <v>40</v>
      </c>
      <c r="B34" s="11" t="s">
        <v>7</v>
      </c>
      <c r="C34" s="11" t="s">
        <v>41</v>
      </c>
      <c r="D34" s="11">
        <v>950</v>
      </c>
      <c r="E34" s="11">
        <v>25</v>
      </c>
      <c r="F34" s="11" t="s">
        <v>9</v>
      </c>
      <c r="G34" s="23" t="str">
        <f t="shared" si="0"/>
        <v>17-06-2026</v>
      </c>
      <c r="H34" s="13" t="s">
        <v>125</v>
      </c>
      <c r="I34" s="14" t="str">
        <f t="shared" si="1"/>
        <v>17-JUN</v>
      </c>
      <c r="J34" s="14" t="str">
        <f t="shared" si="2"/>
        <v>IN</v>
      </c>
      <c r="K34" s="14" t="str">
        <f t="shared" si="3"/>
        <v>Laptop</v>
      </c>
      <c r="L34" s="15">
        <f t="shared" si="4"/>
        <v>950</v>
      </c>
    </row>
    <row r="35" ht="15.75" customHeight="1" spans="1:14">
      <c r="A35" s="27" t="s">
        <v>90</v>
      </c>
      <c r="B35" s="28" t="s">
        <v>91</v>
      </c>
      <c r="C35" s="28" t="s">
        <v>92</v>
      </c>
      <c r="D35" s="28">
        <v>100</v>
      </c>
      <c r="E35" s="28">
        <v>20</v>
      </c>
      <c r="F35" s="28" t="s">
        <v>53</v>
      </c>
      <c r="G35" s="29" t="str">
        <f t="shared" si="0"/>
        <v>09-07-2026</v>
      </c>
      <c r="H35" s="13" t="s">
        <v>125</v>
      </c>
      <c r="I35" s="30" t="str">
        <f t="shared" si="1"/>
        <v>09-JUL</v>
      </c>
      <c r="J35" s="30" t="str">
        <f t="shared" si="2"/>
        <v>FR</v>
      </c>
      <c r="K35" s="14" t="str">
        <f t="shared" si="3"/>
        <v>Watch</v>
      </c>
      <c r="L35" s="15">
        <f t="shared" si="4"/>
        <v>100</v>
      </c>
    </row>
    <row r="36" ht="15.75" customHeight="1"/>
    <row r="37" ht="15.75" customHeight="1" spans="1:14">
      <c r="D37" s="2">
        <f>SUM(D2:D36)</f>
        <v>10100</v>
      </c>
      <c r="E37" s="2">
        <f>SUM(E2:E36)</f>
        <v>900</v>
      </c>
      <c r="F37" s="2"/>
      <c r="G37" s="2"/>
      <c r="H37" s="2"/>
      <c r="I37" s="2"/>
      <c r="J37" s="2"/>
      <c r="K37" s="2"/>
      <c r="L37" s="2">
        <f>SUM(L2:L36)</f>
        <v>10100</v>
      </c>
    </row>
    <row r="38" ht="15.75" customHeight="1"/>
    <row r="39" ht="15.75" customHeight="1"/>
    <row r="40" ht="15.75" customHeight="1"/>
    <row r="41" ht="12.5"/>
    <row r="42" ht="23" spans="1:14">
      <c r="A42" s="31" t="s">
        <v>126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2"/>
      <c r="N42" s="32"/>
    </row>
    <row r="43" s="1" customFormat="1" ht="13.2" customHeight="1" spans="1:14">
      <c r="A43" s="33" t="s">
        <v>127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</row>
    <row r="44" spans="1:14">
      <c r="A44" s="34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</row>
    <row r="45" ht="12.5" spans="1:14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</row>
    <row r="46" ht="12.5" spans="1:14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</row>
    <row r="47" ht="12.5" spans="1:14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</row>
    <row r="48" ht="12.5" spans="1:14">
      <c r="A48" s="34" t="s">
        <v>128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</row>
    <row r="49" ht="12.5" spans="1:14">
      <c r="A49" s="34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</row>
    <row r="50" s="1" customFormat="1" ht="13" spans="1:14">
      <c r="A50" s="33" t="s">
        <v>129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</row>
    <row r="51" spans="1:14">
      <c r="A51" s="34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ht="12.5" spans="1:14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ht="12.5" spans="1:14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  <row r="54" ht="12.5" spans="1:14">
      <c r="A54" s="34" t="s">
        <v>130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ht="12.5" spans="1:14">
      <c r="A55" s="34" t="s">
        <v>131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</row>
    <row r="56" ht="12.5" spans="1:14">
      <c r="A56" s="32" t="s">
        <v>132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spans="1:14">
      <c r="A57" s="35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2"/>
    </row>
    <row r="58" s="1" customFormat="1" ht="13" spans="1:14">
      <c r="A58" s="33" t="s">
        <v>133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</row>
    <row r="59" spans="1:14">
      <c r="A59" s="34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</row>
    <row r="60" spans="1:14">
      <c r="A60" s="34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spans="1:14">
      <c r="A61" s="32"/>
      <c r="B61" s="32"/>
      <c r="C61" s="32"/>
      <c r="D61" s="32"/>
      <c r="E61" s="32"/>
      <c r="F61" s="32"/>
      <c r="G61" s="35"/>
      <c r="H61" s="36"/>
      <c r="I61" s="36"/>
      <c r="J61" s="32"/>
      <c r="K61" s="32"/>
      <c r="L61" s="32"/>
      <c r="M61" s="32"/>
      <c r="N61" s="32"/>
    </row>
    <row r="62" spans="1:14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</row>
    <row r="63" ht="12.5" spans="1:14">
      <c r="A63" s="32"/>
      <c r="B63" s="32"/>
      <c r="C63" s="32"/>
      <c r="D63" s="32"/>
      <c r="E63" s="32"/>
      <c r="F63" s="32"/>
      <c r="G63" s="35"/>
      <c r="H63" s="36"/>
      <c r="I63" s="36"/>
      <c r="J63" s="32"/>
      <c r="K63" s="32"/>
      <c r="L63" s="32"/>
      <c r="M63" s="32"/>
      <c r="N63" s="32"/>
    </row>
    <row r="64" ht="12.5" spans="1:14">
      <c r="A64" s="32"/>
      <c r="B64" s="32"/>
      <c r="C64" s="32"/>
      <c r="D64" s="32"/>
      <c r="E64" s="32"/>
      <c r="F64" s="32"/>
      <c r="G64" s="34" t="s">
        <v>134</v>
      </c>
      <c r="H64" s="32"/>
      <c r="I64" s="32"/>
      <c r="J64" s="32"/>
      <c r="K64" s="32"/>
      <c r="L64" s="32"/>
      <c r="M64" s="32"/>
      <c r="N64" s="32"/>
    </row>
    <row r="65" ht="12.5" spans="1:14">
      <c r="A65" s="34" t="s">
        <v>135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</row>
    <row r="66" ht="12.5" spans="1:14">
      <c r="A66" s="32" t="s">
        <v>136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</row>
    <row r="67" ht="12.5" spans="1:14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</row>
    <row r="68" ht="12.5" spans="1:14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</row>
    <row r="69" s="2" customFormat="1" ht="13" spans="1:14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</row>
    <row r="70" s="2" customFormat="1" ht="13" spans="1:14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</row>
    <row r="71" s="2" customFormat="1" ht="13" spans="1:14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</row>
    <row r="72" s="1" customFormat="1" ht="13" spans="1:14">
      <c r="A72" s="33" t="s">
        <v>137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</row>
    <row r="73" ht="12.5" spans="1:14">
      <c r="A73" s="34" t="s">
        <v>138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</row>
    <row r="74" ht="12.5" spans="1:14">
      <c r="A74" s="34" t="s">
        <v>139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</row>
    <row r="75" ht="12.5" spans="1:14">
      <c r="A75" s="34" t="s">
        <v>140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</row>
    <row r="76" ht="12.5" spans="1:14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</row>
    <row r="77" ht="12.5" spans="1:14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 ht="12.5" spans="1:14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</row>
    <row r="79" ht="12.5" spans="1:14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</row>
    <row r="80" s="1" customFormat="1" ht="13" spans="1:14">
      <c r="A80" s="33" t="s">
        <v>141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</row>
    <row r="81" ht="12.5" spans="1:14">
      <c r="A81" s="34" t="s">
        <v>142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</row>
    <row r="82" ht="12.5" spans="1:14">
      <c r="A82" s="34" t="s">
        <v>143</v>
      </c>
      <c r="B82" s="32" t="s">
        <v>144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</row>
    <row r="83" ht="12.5" spans="1:14">
      <c r="A83" s="32" t="s">
        <v>145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</row>
    <row r="84" ht="12.5" spans="1:14">
      <c r="A84" s="34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</row>
    <row r="85" ht="12.5" spans="1:14">
      <c r="A85" s="34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ht="12.5" spans="1:14">
      <c r="A86" s="34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</row>
    <row r="87" ht="15.75" customHeight="1" spans="1:14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1">
    <mergeCell ref="A42:L42"/>
  </mergeCells>
  <pageMargins left="0.7" right="0.7" top="0.75" bottom="0.75" header="0.3" footer="0.3"/>
  <headerFooter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</vt:lpstr>
      <vt:lpstr>Day-1 Assignment </vt:lpstr>
      <vt:lpstr>Day-2 Assignment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vimal raj</cp:lastModifiedBy>
  <dcterms:created xsi:type="dcterms:W3CDTF">2026-08-23T16:39:09Z</dcterms:created>
  <dcterms:modified xsi:type="dcterms:W3CDTF">2026-08-23T17:13:11Z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AB2C45A89A034D8FBAFED34C209C412D_13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