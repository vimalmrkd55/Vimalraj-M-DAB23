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6052950471dfbe/"/>
    </mc:Choice>
  </mc:AlternateContent>
  <xr:revisionPtr revIDLastSave="0" documentId="8_{5CF68ACF-BA76-4DD3-9BAA-AA7707367C2A}" xr6:coauthVersionLast="47" xr6:coauthVersionMax="47" xr10:uidLastSave="{00000000-0000-0000-0000-000000000000}"/>
  <bookViews>
    <workbookView xWindow="-110" yWindow="-110" windowWidth="19420" windowHeight="10300" xr2:uid="{A6DD21D4-DDA8-4898-9648-16D537794C6F}"/>
  </bookViews>
  <sheets>
    <sheet name="Task 1 2" sheetId="1" r:id="rId1"/>
    <sheet name="Task 3 4" sheetId="2" r:id="rId2"/>
    <sheet name="Task5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2" i="3"/>
  <c r="F3" i="3"/>
  <c r="F4" i="3"/>
  <c r="F5" i="3"/>
  <c r="F6" i="3"/>
  <c r="F7" i="3"/>
  <c r="F8" i="3"/>
  <c r="F9" i="3"/>
  <c r="F10" i="3"/>
  <c r="F2" i="3"/>
  <c r="E3" i="3"/>
  <c r="E4" i="3"/>
  <c r="E5" i="3"/>
  <c r="E6" i="3"/>
  <c r="E7" i="3"/>
  <c r="E8" i="3"/>
  <c r="E9" i="3"/>
  <c r="E10" i="3"/>
  <c r="E2" i="3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B13" i="1"/>
  <c r="B12" i="1"/>
  <c r="C8" i="1"/>
  <c r="D7" i="1"/>
  <c r="C7" i="1"/>
</calcChain>
</file>

<file path=xl/sharedStrings.xml><?xml version="1.0" encoding="utf-8"?>
<sst xmlns="http://schemas.openxmlformats.org/spreadsheetml/2006/main" count="95" uniqueCount="73">
  <si>
    <t>Name</t>
  </si>
  <si>
    <t>Vimal</t>
  </si>
  <si>
    <t>Raj</t>
  </si>
  <si>
    <t>Sekar</t>
  </si>
  <si>
    <t>Ram</t>
  </si>
  <si>
    <t>Nivas</t>
  </si>
  <si>
    <t>Dept</t>
  </si>
  <si>
    <t>Ece</t>
  </si>
  <si>
    <t>Cse</t>
  </si>
  <si>
    <t>EEE</t>
  </si>
  <si>
    <t>IT</t>
  </si>
  <si>
    <t>Bio Med</t>
  </si>
  <si>
    <t>Marks</t>
  </si>
  <si>
    <t>Total</t>
  </si>
  <si>
    <t>Sum</t>
  </si>
  <si>
    <t>Avg</t>
  </si>
  <si>
    <t>Task 2:</t>
  </si>
  <si>
    <t>Min</t>
  </si>
  <si>
    <t>Max</t>
  </si>
  <si>
    <t>Product Name</t>
  </si>
  <si>
    <t>Price</t>
  </si>
  <si>
    <t>Price Range</t>
  </si>
  <si>
    <t>Laptop</t>
  </si>
  <si>
    <t>High Price</t>
  </si>
  <si>
    <t>Headphones</t>
  </si>
  <si>
    <t>Standard Price</t>
  </si>
  <si>
    <t>Desk Chair</t>
  </si>
  <si>
    <t>Smartphone</t>
  </si>
  <si>
    <t>Notebook Set</t>
  </si>
  <si>
    <t>Monitor</t>
  </si>
  <si>
    <t>Keyboard</t>
  </si>
  <si>
    <t>Bookshelf</t>
  </si>
  <si>
    <t>Tablet</t>
  </si>
  <si>
    <t>Mouse</t>
  </si>
  <si>
    <t>ID</t>
  </si>
  <si>
    <t>22MAR25IN</t>
  </si>
  <si>
    <t>15jun25in</t>
  </si>
  <si>
    <t>22mar25in</t>
  </si>
  <si>
    <t>02dec25us</t>
  </si>
  <si>
    <t>01jan25dubai</t>
  </si>
  <si>
    <t>20feb25in</t>
  </si>
  <si>
    <t>18july25dubai</t>
  </si>
  <si>
    <t>17nov25in</t>
  </si>
  <si>
    <t>18sept25us</t>
  </si>
  <si>
    <t>10mar25uk</t>
  </si>
  <si>
    <t>11jun25ca</t>
  </si>
  <si>
    <t>Category</t>
  </si>
  <si>
    <t>Electronics</t>
  </si>
  <si>
    <t>stationary</t>
  </si>
  <si>
    <t>Product ID</t>
  </si>
  <si>
    <t>Day</t>
  </si>
  <si>
    <t>Country Code</t>
  </si>
  <si>
    <t>Month</t>
  </si>
  <si>
    <t>01JAN25US</t>
  </si>
  <si>
    <t>US</t>
  </si>
  <si>
    <t>JAN</t>
  </si>
  <si>
    <t>15FEB25UK</t>
  </si>
  <si>
    <t>UK</t>
  </si>
  <si>
    <t>FEB</t>
  </si>
  <si>
    <t>IN</t>
  </si>
  <si>
    <t>MAR</t>
  </si>
  <si>
    <t>08APR25US</t>
  </si>
  <si>
    <t>APR</t>
  </si>
  <si>
    <t>30MAY25UK</t>
  </si>
  <si>
    <t>MAY</t>
  </si>
  <si>
    <t>12JUN25IN</t>
  </si>
  <si>
    <t>JUN</t>
  </si>
  <si>
    <t>05JUL25US</t>
  </si>
  <si>
    <t>JUL</t>
  </si>
  <si>
    <t>18AUG25UK</t>
  </si>
  <si>
    <t>AUG</t>
  </si>
  <si>
    <t>27SEP25IN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</si>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</sst>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15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8981-00E9-4788-BD2A-9847CFD4950D}">
  <dimension ref="A1:D13"/>
  <sheetViews>
    <sheetView tabSelected="1" workbookViewId="0">
      <selection activeCell="G2" sqref="G2"/>
    </sheetView>
  </sheetViews>
  <sheetFormatPr defaultRowHeight="14.5" x14ac:dyDescent="0.35"/>
  <sheetData>
    <row r="1" spans="1:4" x14ac:dyDescent="0.35">
      <c r="A1" s="6" t="s">
        <v>0</v>
      </c>
      <c r="B1" s="6" t="s">
        <v>6</v>
      </c>
      <c r="C1" s="6" t="s">
        <v>12</v>
      </c>
      <c r="D1" s="6" t="s">
        <v>13</v>
      </c>
    </row>
    <row r="2" spans="1:4" x14ac:dyDescent="0.35">
      <c r="A2" s="4" t="s">
        <v>1</v>
      </c>
      <c r="B2" s="4" t="s">
        <v>7</v>
      </c>
      <c r="C2" s="4">
        <v>500</v>
      </c>
      <c r="D2" s="4">
        <v>600</v>
      </c>
    </row>
    <row r="3" spans="1:4" x14ac:dyDescent="0.35">
      <c r="A3" s="4" t="s">
        <v>2</v>
      </c>
      <c r="B3" s="4" t="s">
        <v>8</v>
      </c>
      <c r="C3" s="4">
        <v>550</v>
      </c>
      <c r="D3" s="4">
        <v>600</v>
      </c>
    </row>
    <row r="4" spans="1:4" x14ac:dyDescent="0.35">
      <c r="A4" s="4" t="s">
        <v>3</v>
      </c>
      <c r="B4" s="4" t="s">
        <v>9</v>
      </c>
      <c r="C4" s="4">
        <v>600</v>
      </c>
      <c r="D4" s="4">
        <v>600</v>
      </c>
    </row>
    <row r="5" spans="1:4" x14ac:dyDescent="0.35">
      <c r="A5" s="4" t="s">
        <v>4</v>
      </c>
      <c r="B5" s="4" t="s">
        <v>10</v>
      </c>
      <c r="C5" s="4">
        <v>450</v>
      </c>
      <c r="D5" s="4">
        <v>600</v>
      </c>
    </row>
    <row r="6" spans="1:4" x14ac:dyDescent="0.35">
      <c r="A6" s="4" t="s">
        <v>5</v>
      </c>
      <c r="B6" s="4" t="s">
        <v>11</v>
      </c>
      <c r="C6" s="4">
        <v>350</v>
      </c>
      <c r="D6" s="4">
        <v>600</v>
      </c>
    </row>
    <row r="7" spans="1:4" x14ac:dyDescent="0.35">
      <c r="A7" s="4"/>
      <c r="B7" s="4" t="s">
        <v>14</v>
      </c>
      <c r="C7" s="4">
        <f>SUM(C2:C6)</f>
        <v>2450</v>
      </c>
      <c r="D7" s="4">
        <f>SUM(D2:D6)</f>
        <v>3000</v>
      </c>
    </row>
    <row r="8" spans="1:4" x14ac:dyDescent="0.35">
      <c r="A8" s="4"/>
      <c r="B8" s="4" t="s">
        <v>15</v>
      </c>
      <c r="C8" s="4">
        <f>AVERAGE(C2:C6)</f>
        <v>490</v>
      </c>
      <c r="D8" s="4"/>
    </row>
    <row r="11" spans="1:4" x14ac:dyDescent="0.35">
      <c r="A11" s="1" t="s">
        <v>16</v>
      </c>
    </row>
    <row r="12" spans="1:4" x14ac:dyDescent="0.35">
      <c r="A12" s="4" t="s">
        <v>17</v>
      </c>
      <c r="B12" s="4">
        <f>MIN(C2:C6)</f>
        <v>350</v>
      </c>
    </row>
    <row r="13" spans="1:4" x14ac:dyDescent="0.35">
      <c r="A13" s="4" t="s">
        <v>18</v>
      </c>
      <c r="B13" s="4">
        <f>MAX(C2:C6)</f>
        <v>600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5367-644A-42E6-A6A4-063B070B0D02}">
  <dimension ref="A1:I11"/>
  <sheetViews>
    <sheetView workbookViewId="0">
      <selection activeCell="F2" sqref="F2"/>
    </sheetView>
  </sheetViews>
  <sheetFormatPr defaultRowHeight="14.5" x14ac:dyDescent="0.35"/>
  <cols>
    <col min="1" max="1" width="9.36328125" bestFit="1" customWidth="1"/>
  </cols>
  <sheetData>
    <row r="1" spans="1:9" ht="29" x14ac:dyDescent="0.35">
      <c r="A1" s="4" t="s">
        <v>34</v>
      </c>
      <c r="B1" s="2" t="s">
        <v>19</v>
      </c>
      <c r="C1" s="2" t="s">
        <v>46</v>
      </c>
      <c r="D1" s="2" t="s">
        <v>20</v>
      </c>
      <c r="E1" s="2" t="s">
        <v>21</v>
      </c>
      <c r="F1" s="4"/>
      <c r="G1" s="4"/>
      <c r="H1" s="4"/>
      <c r="I1" s="4"/>
    </row>
    <row r="2" spans="1:9" ht="29" x14ac:dyDescent="0.35">
      <c r="A2" s="5" t="s">
        <v>39</v>
      </c>
      <c r="B2" s="3" t="s">
        <v>22</v>
      </c>
      <c r="C2" s="3" t="s">
        <v>47</v>
      </c>
      <c r="D2" s="3">
        <v>1200</v>
      </c>
      <c r="E2" s="3" t="s">
        <v>23</v>
      </c>
      <c r="F2" s="4" t="str">
        <f>IF(D2&gt;=500,"High Price","Standard Price")</f>
        <v>High Price</v>
      </c>
      <c r="G2" s="4" t="str">
        <f>IF(D2&lt;500,"High Price","Standard Price")</f>
        <v>Standard Price</v>
      </c>
      <c r="H2" s="4">
        <f>SUMIF(C2:C11,"Electronics",D2:D11)</f>
        <v>3420</v>
      </c>
      <c r="I2" s="4">
        <f>COUNTIF(D2:D11,"&lt;100")</f>
        <v>4</v>
      </c>
    </row>
    <row r="3" spans="1:9" ht="29" x14ac:dyDescent="0.35">
      <c r="A3" s="5" t="s">
        <v>38</v>
      </c>
      <c r="B3" s="3" t="s">
        <v>24</v>
      </c>
      <c r="C3" s="3" t="s">
        <v>47</v>
      </c>
      <c r="D3" s="3">
        <v>85</v>
      </c>
      <c r="E3" s="3" t="s">
        <v>25</v>
      </c>
      <c r="F3" s="4" t="str">
        <f t="shared" ref="F3:F11" si="0">IF(D3&gt;=500,"High Price","Standard Price")</f>
        <v>Standard Price</v>
      </c>
      <c r="G3" s="4" t="str">
        <f t="shared" ref="G3:G11" si="1">IF(D3&lt;500,"High Price","Standard Price")</f>
        <v>High Price</v>
      </c>
      <c r="H3" s="4">
        <f t="shared" ref="H3:H11" si="2">SUMIF(C3:C12,"Electronics",D3:D12)</f>
        <v>2220</v>
      </c>
      <c r="I3" s="4">
        <f t="shared" ref="I3:I11" si="3">COUNTIF(D3:D12,"&lt;100")</f>
        <v>4</v>
      </c>
    </row>
    <row r="4" spans="1:9" ht="29" x14ac:dyDescent="0.35">
      <c r="A4" s="4" t="s">
        <v>37</v>
      </c>
      <c r="B4" s="3" t="s">
        <v>26</v>
      </c>
      <c r="C4" s="3" t="s">
        <v>48</v>
      </c>
      <c r="D4" s="3">
        <v>320</v>
      </c>
      <c r="E4" s="3" t="s">
        <v>25</v>
      </c>
      <c r="F4" s="4" t="str">
        <f t="shared" si="0"/>
        <v>Standard Price</v>
      </c>
      <c r="G4" s="4" t="str">
        <f t="shared" si="1"/>
        <v>High Price</v>
      </c>
      <c r="H4" s="4">
        <f t="shared" si="2"/>
        <v>2135</v>
      </c>
      <c r="I4" s="4">
        <f t="shared" si="3"/>
        <v>3</v>
      </c>
    </row>
    <row r="5" spans="1:9" ht="29" x14ac:dyDescent="0.35">
      <c r="A5" s="5" t="s">
        <v>36</v>
      </c>
      <c r="B5" s="3" t="s">
        <v>27</v>
      </c>
      <c r="C5" s="3" t="s">
        <v>47</v>
      </c>
      <c r="D5" s="3">
        <v>950</v>
      </c>
      <c r="E5" s="3" t="s">
        <v>23</v>
      </c>
      <c r="F5" s="4" t="str">
        <f t="shared" si="0"/>
        <v>High Price</v>
      </c>
      <c r="G5" s="4" t="str">
        <f t="shared" si="1"/>
        <v>Standard Price</v>
      </c>
      <c r="H5" s="4">
        <f t="shared" si="2"/>
        <v>2135</v>
      </c>
      <c r="I5" s="4">
        <f t="shared" si="3"/>
        <v>3</v>
      </c>
    </row>
    <row r="6" spans="1:9" ht="29" x14ac:dyDescent="0.35">
      <c r="A6" s="5" t="s">
        <v>40</v>
      </c>
      <c r="B6" s="3" t="s">
        <v>28</v>
      </c>
      <c r="C6" s="3" t="s">
        <v>48</v>
      </c>
      <c r="D6" s="3">
        <v>25</v>
      </c>
      <c r="E6" s="3" t="s">
        <v>25</v>
      </c>
      <c r="F6" s="4" t="str">
        <f t="shared" si="0"/>
        <v>Standard Price</v>
      </c>
      <c r="G6" s="4" t="str">
        <f t="shared" si="1"/>
        <v>High Price</v>
      </c>
      <c r="H6" s="4">
        <f t="shared" si="2"/>
        <v>1185</v>
      </c>
      <c r="I6" s="4">
        <f t="shared" si="3"/>
        <v>3</v>
      </c>
    </row>
    <row r="7" spans="1:9" ht="29" x14ac:dyDescent="0.35">
      <c r="A7" s="5" t="s">
        <v>41</v>
      </c>
      <c r="B7" s="3" t="s">
        <v>29</v>
      </c>
      <c r="C7" s="3" t="s">
        <v>47</v>
      </c>
      <c r="D7" s="3">
        <v>450</v>
      </c>
      <c r="E7" s="3" t="s">
        <v>25</v>
      </c>
      <c r="F7" s="4" t="str">
        <f t="shared" si="0"/>
        <v>Standard Price</v>
      </c>
      <c r="G7" s="4" t="str">
        <f t="shared" si="1"/>
        <v>High Price</v>
      </c>
      <c r="H7" s="4">
        <f t="shared" si="2"/>
        <v>1185</v>
      </c>
      <c r="I7" s="4">
        <f t="shared" si="3"/>
        <v>2</v>
      </c>
    </row>
    <row r="8" spans="1:9" ht="29" x14ac:dyDescent="0.35">
      <c r="A8" s="5" t="s">
        <v>42</v>
      </c>
      <c r="B8" s="3" t="s">
        <v>30</v>
      </c>
      <c r="C8" s="3" t="s">
        <v>47</v>
      </c>
      <c r="D8" s="3">
        <v>75</v>
      </c>
      <c r="E8" s="3" t="s">
        <v>25</v>
      </c>
      <c r="F8" s="4" t="str">
        <f t="shared" si="0"/>
        <v>Standard Price</v>
      </c>
      <c r="G8" s="4" t="str">
        <f t="shared" si="1"/>
        <v>High Price</v>
      </c>
      <c r="H8" s="4">
        <f t="shared" si="2"/>
        <v>735</v>
      </c>
      <c r="I8" s="4">
        <f t="shared" si="3"/>
        <v>2</v>
      </c>
    </row>
    <row r="9" spans="1:9" ht="29" x14ac:dyDescent="0.35">
      <c r="A9" s="5" t="s">
        <v>43</v>
      </c>
      <c r="B9" s="3" t="s">
        <v>31</v>
      </c>
      <c r="C9" s="3" t="s">
        <v>48</v>
      </c>
      <c r="D9" s="3">
        <v>275</v>
      </c>
      <c r="E9" s="3" t="s">
        <v>25</v>
      </c>
      <c r="F9" s="4" t="str">
        <f t="shared" si="0"/>
        <v>Standard Price</v>
      </c>
      <c r="G9" s="4" t="str">
        <f t="shared" si="1"/>
        <v>High Price</v>
      </c>
      <c r="H9" s="4">
        <f t="shared" si="2"/>
        <v>660</v>
      </c>
      <c r="I9" s="4">
        <f t="shared" si="3"/>
        <v>1</v>
      </c>
    </row>
    <row r="10" spans="1:9" ht="29" x14ac:dyDescent="0.35">
      <c r="A10" s="5" t="s">
        <v>44</v>
      </c>
      <c r="B10" s="3" t="s">
        <v>32</v>
      </c>
      <c r="C10" s="3" t="s">
        <v>47</v>
      </c>
      <c r="D10" s="3">
        <v>620</v>
      </c>
      <c r="E10" s="3" t="s">
        <v>23</v>
      </c>
      <c r="F10" s="4" t="str">
        <f t="shared" si="0"/>
        <v>High Price</v>
      </c>
      <c r="G10" s="4" t="str">
        <f t="shared" si="1"/>
        <v>Standard Price</v>
      </c>
      <c r="H10" s="4">
        <f t="shared" si="2"/>
        <v>660</v>
      </c>
      <c r="I10" s="4">
        <f t="shared" si="3"/>
        <v>1</v>
      </c>
    </row>
    <row r="11" spans="1:9" ht="29" x14ac:dyDescent="0.35">
      <c r="A11" s="5" t="s">
        <v>45</v>
      </c>
      <c r="B11" s="3" t="s">
        <v>33</v>
      </c>
      <c r="C11" s="3" t="s">
        <v>47</v>
      </c>
      <c r="D11" s="3">
        <v>40</v>
      </c>
      <c r="E11" s="3" t="s">
        <v>25</v>
      </c>
      <c r="F11" s="4" t="str">
        <f t="shared" si="0"/>
        <v>Standard Price</v>
      </c>
      <c r="G11" s="4" t="str">
        <f t="shared" si="1"/>
        <v>High Price</v>
      </c>
      <c r="H11" s="4">
        <f t="shared" si="2"/>
        <v>40</v>
      </c>
      <c r="I11" s="4">
        <f t="shared" si="3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1384-CF41-4997-86F5-984ACC5BB0DB}">
  <dimension ref="A1:G10"/>
  <sheetViews>
    <sheetView workbookViewId="0">
      <selection activeCell="I6" sqref="I6"/>
    </sheetView>
  </sheetViews>
  <sheetFormatPr defaultRowHeight="14.5" x14ac:dyDescent="0.35"/>
  <cols>
    <col min="1" max="1" width="10.7265625" bestFit="1" customWidth="1"/>
  </cols>
  <sheetData>
    <row r="1" spans="1:7" x14ac:dyDescent="0.35">
      <c r="A1" s="6" t="s">
        <v>49</v>
      </c>
      <c r="B1" s="6" t="s">
        <v>50</v>
      </c>
      <c r="C1" s="6" t="s">
        <v>51</v>
      </c>
      <c r="D1" s="6" t="s">
        <v>52</v>
      </c>
      <c r="E1" s="4"/>
      <c r="F1" s="4"/>
      <c r="G1" s="4"/>
    </row>
    <row r="2" spans="1:7" x14ac:dyDescent="0.35">
      <c r="A2" s="4" t="s">
        <v>53</v>
      </c>
      <c r="B2" s="4">
        <v>1</v>
      </c>
      <c r="C2" s="4" t="s">
        <v>54</v>
      </c>
      <c r="D2" s="4" t="s">
        <v>55</v>
      </c>
      <c r="E2" s="4" t="str">
        <f>LEFT(A2,2)</f>
        <v>01</v>
      </c>
      <c r="F2" s="4" t="str">
        <f>RIGHT(A2,2)</f>
        <v>US</v>
      </c>
      <c r="G2" s="4" t="str">
        <f>MID(A2,3,3)</f>
        <v>JAN</v>
      </c>
    </row>
    <row r="3" spans="1:7" x14ac:dyDescent="0.35">
      <c r="A3" s="4" t="s">
        <v>56</v>
      </c>
      <c r="B3" s="4">
        <v>15</v>
      </c>
      <c r="C3" s="4" t="s">
        <v>57</v>
      </c>
      <c r="D3" s="4" t="s">
        <v>58</v>
      </c>
      <c r="E3" s="4" t="str">
        <f t="shared" ref="E3:E10" si="0">LEFT(A3,2)</f>
        <v>15</v>
      </c>
      <c r="F3" s="4" t="str">
        <f t="shared" ref="F3:F10" si="1">RIGHT(A3,2)</f>
        <v>UK</v>
      </c>
      <c r="G3" s="4" t="str">
        <f t="shared" ref="G3:G10" si="2">MID(A3,3,3)</f>
        <v>FEB</v>
      </c>
    </row>
    <row r="4" spans="1:7" x14ac:dyDescent="0.35">
      <c r="A4" s="4" t="s">
        <v>35</v>
      </c>
      <c r="B4" s="4">
        <v>22</v>
      </c>
      <c r="C4" s="4" t="s">
        <v>59</v>
      </c>
      <c r="D4" s="4" t="s">
        <v>60</v>
      </c>
      <c r="E4" s="4" t="str">
        <f t="shared" si="0"/>
        <v>22</v>
      </c>
      <c r="F4" s="4" t="str">
        <f t="shared" si="1"/>
        <v>IN</v>
      </c>
      <c r="G4" s="4" t="str">
        <f t="shared" si="2"/>
        <v>MAR</v>
      </c>
    </row>
    <row r="5" spans="1:7" x14ac:dyDescent="0.35">
      <c r="A5" s="4" t="s">
        <v>61</v>
      </c>
      <c r="B5" s="4">
        <v>8</v>
      </c>
      <c r="C5" s="4" t="s">
        <v>54</v>
      </c>
      <c r="D5" s="4" t="s">
        <v>62</v>
      </c>
      <c r="E5" s="4" t="str">
        <f t="shared" si="0"/>
        <v>08</v>
      </c>
      <c r="F5" s="4" t="str">
        <f t="shared" si="1"/>
        <v>US</v>
      </c>
      <c r="G5" s="4" t="str">
        <f t="shared" si="2"/>
        <v>APR</v>
      </c>
    </row>
    <row r="6" spans="1:7" x14ac:dyDescent="0.35">
      <c r="A6" s="4" t="s">
        <v>63</v>
      </c>
      <c r="B6" s="4">
        <v>30</v>
      </c>
      <c r="C6" s="4" t="s">
        <v>57</v>
      </c>
      <c r="D6" s="4" t="s">
        <v>64</v>
      </c>
      <c r="E6" s="4" t="str">
        <f t="shared" si="0"/>
        <v>30</v>
      </c>
      <c r="F6" s="4" t="str">
        <f t="shared" si="1"/>
        <v>UK</v>
      </c>
      <c r="G6" s="4" t="str">
        <f t="shared" si="2"/>
        <v>MAY</v>
      </c>
    </row>
    <row r="7" spans="1:7" x14ac:dyDescent="0.35">
      <c r="A7" s="4" t="s">
        <v>65</v>
      </c>
      <c r="B7" s="4">
        <v>12</v>
      </c>
      <c r="C7" s="4" t="s">
        <v>59</v>
      </c>
      <c r="D7" s="4" t="s">
        <v>66</v>
      </c>
      <c r="E7" s="4" t="str">
        <f t="shared" si="0"/>
        <v>12</v>
      </c>
      <c r="F7" s="4" t="str">
        <f t="shared" si="1"/>
        <v>IN</v>
      </c>
      <c r="G7" s="4" t="str">
        <f t="shared" si="2"/>
        <v>JUN</v>
      </c>
    </row>
    <row r="8" spans="1:7" x14ac:dyDescent="0.35">
      <c r="A8" s="4" t="s">
        <v>67</v>
      </c>
      <c r="B8" s="4">
        <v>5</v>
      </c>
      <c r="C8" s="4" t="s">
        <v>54</v>
      </c>
      <c r="D8" s="4" t="s">
        <v>68</v>
      </c>
      <c r="E8" s="4" t="str">
        <f t="shared" si="0"/>
        <v>05</v>
      </c>
      <c r="F8" s="4" t="str">
        <f t="shared" si="1"/>
        <v>US</v>
      </c>
      <c r="G8" s="4" t="str">
        <f t="shared" si="2"/>
        <v>JUL</v>
      </c>
    </row>
    <row r="9" spans="1:7" x14ac:dyDescent="0.35">
      <c r="A9" s="4" t="s">
        <v>69</v>
      </c>
      <c r="B9" s="4">
        <v>18</v>
      </c>
      <c r="C9" s="4" t="s">
        <v>57</v>
      </c>
      <c r="D9" s="4" t="s">
        <v>70</v>
      </c>
      <c r="E9" s="4" t="str">
        <f t="shared" si="0"/>
        <v>18</v>
      </c>
      <c r="F9" s="4" t="str">
        <f t="shared" si="1"/>
        <v>UK</v>
      </c>
      <c r="G9" s="4" t="str">
        <f t="shared" si="2"/>
        <v>AUG</v>
      </c>
    </row>
    <row r="10" spans="1:7" x14ac:dyDescent="0.35">
      <c r="A10" s="4" t="s">
        <v>71</v>
      </c>
      <c r="B10" s="4">
        <v>27</v>
      </c>
      <c r="C10" s="4" t="s">
        <v>59</v>
      </c>
      <c r="D10" s="4" t="s">
        <v>72</v>
      </c>
      <c r="E10" s="4" t="str">
        <f t="shared" si="0"/>
        <v>27</v>
      </c>
      <c r="F10" s="4" t="str">
        <f t="shared" si="1"/>
        <v>IN</v>
      </c>
      <c r="G10" s="4" t="str">
        <f t="shared" si="2"/>
        <v>SEP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 2</vt:lpstr>
      <vt:lpstr>Task 3 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Makeswaran Family</dc:creator>
  <cp:lastModifiedBy>Makeswaran Family</cp:lastModifiedBy>
  <dcterms:created xsi:type="dcterms:W3CDTF">2026-07-24T08:42:16Z</dcterms:created>
  <dcterms:modified xsi:type="dcterms:W3CDTF">2026-07-24T09:20:35Z</dcterms:modified>
</cp:coreProperties>
</file>